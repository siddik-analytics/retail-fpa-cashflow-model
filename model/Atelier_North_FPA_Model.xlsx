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EADME" sheetId="1" state="visible" r:id="rId3"/>
    <sheet name="Assumptions" sheetId="2" state="visible" r:id="rId4"/>
    <sheet name="13W Cash Flow" sheetId="3" state="visible" r:id="rId5"/>
    <sheet name="Channel Profitability" sheetId="4" state="visible" r:id="rId6"/>
    <sheet name="Store Break-Even" sheetId="5" state="visible" r:id="rId7"/>
    <sheet name="Scenarios" sheetId="6" state="visible" r:id="rId8"/>
    <sheet name="Dashboard" sheetId="7" state="visible" r:id="rId9"/>
    <sheet name="Management Insights" sheetId="8" state="visible" r:id="rId10"/>
    <sheet name="Controls" sheetId="9" state="visible" r:id="rId11"/>
  </sheets>
  <definedNames>
    <definedName function="false" hidden="false" localSheetId="2" name="_xlnm.Print_Area" vbProcedure="false">'13W Cash Flow'!$A$1:$Q$88</definedName>
    <definedName function="false" hidden="false" localSheetId="2" name="_xlnm.Print_Titles" vbProcedure="false">'13W Cash Flow'!$1:$7</definedName>
    <definedName function="false" hidden="false" localSheetId="1" name="_xlnm.Print_Area" vbProcedure="false">Assumptions!$A$1:$O$124</definedName>
    <definedName function="false" hidden="false" localSheetId="1" name="_xlnm.Print_Titles" vbProcedure="false">Assumptions!$1:$2</definedName>
    <definedName function="false" hidden="false" localSheetId="3" name="_xlnm.Print_Area" vbProcedure="false">'Channel Profitability'!$A$1:$H$61</definedName>
    <definedName function="false" hidden="false" localSheetId="3" name="_xlnm.Print_Titles" vbProcedure="false">'Channel Profitability'!$1:$4</definedName>
    <definedName function="false" hidden="false" localSheetId="8" name="_xlnm.Print_Area" vbProcedure="false">Controls!$A$1:$G$38</definedName>
    <definedName function="false" hidden="false" localSheetId="8" name="_xlnm.Print_Titles" vbProcedure="false">Controls!$1:$6</definedName>
    <definedName function="false" hidden="false" localSheetId="6" name="_xlnm.Print_Area" vbProcedure="false">Dashboard!$A$1:$O$55</definedName>
    <definedName function="false" hidden="false" localSheetId="7" name="_xlnm.Print_Area" vbProcedure="false">'Management Insights'!$A$1:$C$26</definedName>
    <definedName function="false" hidden="false" localSheetId="7" name="_xlnm.Print_Titles" vbProcedure="false">'Management Insights'!$1:$4</definedName>
    <definedName function="false" hidden="false" localSheetId="0" name="_xlnm.Print_Area" vbProcedure="false">README!$A$1:$C$40</definedName>
    <definedName function="false" hidden="false" localSheetId="5" name="_xlnm.Print_Area" vbProcedure="false">Scenarios!$A$1:$M$79</definedName>
    <definedName function="false" hidden="false" localSheetId="5" name="_xlnm.Print_Titles" vbProcedure="false">Scenarios!$1:$5</definedName>
    <definedName function="false" hidden="false" localSheetId="4" name="_xlnm.Print_Area" vbProcedure="false">'Store Break-Even'!$A$1:$H$71</definedName>
    <definedName function="false" hidden="false" localSheetId="4" name="_xlnm.Print_Titles" vbProcedure="false">'Store Break-Even'!$1:$2</definedName>
  </definedNames>
  <calcPr calcId="191029" calcMode="auto" fullCalcOnLoad="1" calcCompleted="0"/>
  <extLst>
    <ext xmlns:loext="http://schemas.libreoffice.org/" uri="{7626C862-2A13-11E5-B345-FEFF819CDC9F}">
      <loext:extCalcPr stringRefSyntax="ExcelA1"/>
    </ext>
  </extLst>
</workbook>
</file>

<file path=xl/sharedStrings.xml><?xml version="1.0" encoding="utf-8"?>
<sst xmlns="http://schemas.openxmlformats.org/spreadsheetml/2006/main" count="968" uniqueCount="643">
  <si>
    <t xml:space="preserve">ATELIER NORTH PTE. LTD.</t>
  </si>
  <si>
    <t xml:space="preserve">SGD  ·  synthetic data</t>
  </si>
  <si>
    <t xml:space="preserve">Synthetic FP&amp;A portfolio model  ·  model guide and conventions</t>
  </si>
  <si>
    <t xml:space="preserve">SYNTHETIC DATA</t>
  </si>
  <si>
    <t xml:space="preserve">All companies, transactions and financial data in this workbook are fictional and created solely to demonstrate financial-modelling and FP&amp;A capabilities.</t>
  </si>
  <si>
    <t xml:space="preserve">Atelier North Pte. Ltd. does not exist. No client, employer, customer or confidential information appears in this file. The methodology, structure and controls reflect the approach used on real engagements; the numbers do not.</t>
  </si>
  <si>
    <t xml:space="preserve">MODEL AT A GLANCE</t>
  </si>
  <si>
    <t xml:space="preserve">Purpose</t>
  </si>
  <si>
    <t xml:space="preserve">A management decision tool for an owner-managed fashion retailer under short-term cash pressure.</t>
  </si>
  <si>
    <t xml:space="preserve">Key questions</t>
  </si>
  <si>
    <t xml:space="preserve">Will we run out of cash this quarter?  Which channels make money?  Is the flagship store viable?  What should we do?</t>
  </si>
  <si>
    <t xml:space="preserve">Business</t>
  </si>
  <si>
    <t xml:space="preserve">Atelier North Pte. Ltd. - independent Singapore fashion / apparel retailer, owner-managed, books kept in Xero.</t>
  </si>
  <si>
    <t xml:space="preserve">Channels</t>
  </si>
  <si>
    <t xml:space="preserve">Flagship store  ·  E-commerce  ·  Events / pop-ups  ·  Consignment partners</t>
  </si>
  <si>
    <t xml:space="preserve">Reporting currency</t>
  </si>
  <si>
    <t xml:space="preserve">Singapore Dollars (SGD). All lines are stated net of GST; GST is settled quarterly as a single payment.</t>
  </si>
  <si>
    <t xml:space="preserve">Historical period</t>
  </si>
  <si>
    <t xml:space="preserve">Six months ended 31 July 2026 (Feb-26 to Jul-26) - channel P&amp;L and break-even base.</t>
  </si>
  <si>
    <t xml:space="preserve">Forecast period</t>
  </si>
  <si>
    <t xml:space="preserve">13 weeks, Monday 3 August 2026 to Sunday 1 November 2026.</t>
  </si>
  <si>
    <t xml:space="preserve">Source data</t>
  </si>
  <si>
    <t xml:space="preserve">Xero trial balance and tracking categories, AP ageing and purchase-order commitments, POS and e-commerce reports.</t>
  </si>
  <si>
    <t xml:space="preserve">WORKBOOK NAVIGATION</t>
  </si>
  <si>
    <t xml:space="preserve">Dashboard</t>
  </si>
  <si>
    <t xml:space="preserve">One-page executive summary: eight KPI cards, four headline conclusions and five charts. Start here.</t>
  </si>
  <si>
    <t xml:space="preserve">Management Insights</t>
  </si>
  <si>
    <t xml:space="preserve">Seven findings, each with its commercial consequence and a recommended action.</t>
  </si>
  <si>
    <t xml:space="preserve">13W Cash Flow</t>
  </si>
  <si>
    <t xml:space="preserve">Rolling 13-week forecast. Receipts by channel, outflows by cost line, closing cash against the minimum buffer.</t>
  </si>
  <si>
    <t xml:space="preserve">Channel Profitability</t>
  </si>
  <si>
    <t xml:space="preserve">Six-month management P&amp;L by channel: contribution margin, then direct channel profit, then shared overhead.</t>
  </si>
  <si>
    <t xml:space="preserve">Store Break-Even</t>
  </si>
  <si>
    <t xml:space="preserve">Flagship store viability: break-even sales, margin of safety, two sensitivity grids and a driver ranking.</t>
  </si>
  <si>
    <t xml:space="preserve">Scenarios</t>
  </si>
  <si>
    <t xml:space="preserve">Continue / improve / exit, each with a full 13-week cash rebuild and the thresholds that decide between them.</t>
  </si>
  <si>
    <t xml:space="preserve">Assumptions</t>
  </si>
  <si>
    <t xml:space="preserve">Every hardcoded input in the model, in sixteen labelled sections. The only sheet you need to edit.</t>
  </si>
  <si>
    <t xml:space="preserve">Controls</t>
  </si>
  <si>
    <t xml:space="preserve">Thirty reconciliation and integrity checks. MODEL STATUS must read PASS before the pack is issued.</t>
  </si>
  <si>
    <t xml:space="preserve">CELL CONVENTIONS</t>
  </si>
  <si>
    <t xml:space="preserve">Hardcoded input</t>
  </si>
  <si>
    <t xml:space="preserve">Pale yellow fill with navy-blue text. These are the only cells intended to be edited.</t>
  </si>
  <si>
    <t xml:space="preserve">Formula</t>
  </si>
  <si>
    <t xml:space="preserve">Standard black text - calculated on the same sheet.</t>
  </si>
  <si>
    <t xml:space="preserve">Cross-sheet link</t>
  </si>
  <si>
    <t xml:space="preserve">Muted green text - pulls a value from another sheet in this workbook.</t>
  </si>
  <si>
    <t xml:space="preserve">Key output</t>
  </si>
  <si>
    <t xml:space="preserve">Bold navy on a light panel - a headline figure that feeds the Dashboard.</t>
  </si>
  <si>
    <t xml:space="preserve">METHODOLOGY AND LIMITATIONS</t>
  </si>
  <si>
    <t xml:space="preserve">Cash, not accruals</t>
  </si>
  <si>
    <t xml:space="preserve">Receipts run through channel-specific settlement lags; costs run through their actual payment dates. Payment timing is derived from the week dates, so rolling the forecast forward is a one-cell change.</t>
  </si>
  <si>
    <t xml:space="preserve">Contribution first</t>
  </si>
  <si>
    <t xml:space="preserve">Channels are judged on contribution margin and then on direct channel profit. Shared overhead is held back from the primary view; a fully-absorbed memo view is shown separately.</t>
  </si>
  <si>
    <t xml:space="preserve">Break-even</t>
  </si>
  <si>
    <t xml:space="preserve">Break-even sales = fixed store costs / contribution margin %, measured after the costs that genuinely move with store sales.</t>
  </si>
  <si>
    <t xml:space="preserve">Each scenario rebuilds the weekly cash path from the same drivers. With neutral levers Scenario 1 reproduces the base case exactly - this is tested on the Controls tab.</t>
  </si>
  <si>
    <t xml:space="preserve">Limitations</t>
  </si>
  <si>
    <t xml:space="preserve">Thirteen weeks only: a liquidity tool, not a budget. No balance sheet or deferred tax. GST is a single quarterly settlement. Exit costs are illustrative estimates.</t>
  </si>
  <si>
    <t xml:space="preserve">Prepared as a portfolio work sample. Data synthetic; methodology as used in practice.</t>
  </si>
  <si>
    <t xml:space="preserve">Central assumptions  ·  every hardcoded input in the model lives on this sheet</t>
  </si>
  <si>
    <t xml:space="preserve">Back to Dashboard</t>
  </si>
  <si>
    <t xml:space="preserve">Legend</t>
  </si>
  <si>
    <t xml:space="preserve">input</t>
  </si>
  <si>
    <t xml:space="preserve">edit these</t>
  </si>
  <si>
    <t xml:space="preserve">Black = calculated on this sheet.   Green = link to another sheet.   Scenario levers are held on the Scenarios tab.</t>
  </si>
  <si>
    <t xml:space="preserve">1.  MODEL CONTROL</t>
  </si>
  <si>
    <t xml:space="preserve">Week 1 commencing (Monday)</t>
  </si>
  <si>
    <t xml:space="preserve">date</t>
  </si>
  <si>
    <t xml:space="preserve">Roll the forecast by changing this one date.</t>
  </si>
  <si>
    <t xml:space="preserve">Historical period ended</t>
  </si>
  <si>
    <t xml:space="preserve">Six months of channel actuals to this date.</t>
  </si>
  <si>
    <t xml:space="preserve">Weeks per month conversion factor</t>
  </si>
  <si>
    <t xml:space="preserve">wks/mth</t>
  </si>
  <si>
    <t xml:space="preserve">Used to convert weekly run-rates to monthly.</t>
  </si>
  <si>
    <t xml:space="preserve">2.  CASH</t>
  </si>
  <si>
    <t xml:space="preserve">Opening cash balance at Week 1</t>
  </si>
  <si>
    <t xml:space="preserve">SGD</t>
  </si>
  <si>
    <t xml:space="preserve">Bank balance per the Xero bank reconciliation.</t>
  </si>
  <si>
    <t xml:space="preserve">Minimum operating cash threshold</t>
  </si>
  <si>
    <t xml:space="preserve">Board-set buffer: c.2.5 months of fixed cost cover.</t>
  </si>
  <si>
    <t xml:space="preserve">3.  REVENUE - FORECAST WEEKLY RUN-RATES (gross of discounts)</t>
  </si>
  <si>
    <t xml:space="preserve">Physical store - gross sales per week</t>
  </si>
  <si>
    <t xml:space="preserve">SGD/wk</t>
  </si>
  <si>
    <t xml:space="preserve">E-commerce - gross sales per week</t>
  </si>
  <si>
    <t xml:space="preserve">Ahead of the 6-month average: e-commerce is growing.</t>
  </si>
  <si>
    <t xml:space="preserve">Events / pop-ups - gross sales per event week</t>
  </si>
  <si>
    <t xml:space="preserve">Applied only in weeks with a scheduled event.</t>
  </si>
  <si>
    <t xml:space="preserve">Consignment - gross sales per week (at partner retail)</t>
  </si>
  <si>
    <t xml:space="preserve">4.  DISCOUNTS, RETURNS AND GROSS MARGIN</t>
  </si>
  <si>
    <t xml:space="preserve">Store - discounts and returns</t>
  </si>
  <si>
    <t xml:space="preserve">% of gross</t>
  </si>
  <si>
    <t xml:space="preserve">E-commerce - discounts and returns</t>
  </si>
  <si>
    <t xml:space="preserve">Higher: size-driven online returns.</t>
  </si>
  <si>
    <t xml:space="preserve">Events - discounts and returns</t>
  </si>
  <si>
    <t xml:space="preserve">Consignment - discounts and returns</t>
  </si>
  <si>
    <t xml:space="preserve">Partner sells at full retail.</t>
  </si>
  <si>
    <t xml:space="preserve">Store - gross margin</t>
  </si>
  <si>
    <t xml:space="preserve">% of net</t>
  </si>
  <si>
    <t xml:space="preserve">E-commerce - gross margin</t>
  </si>
  <si>
    <t xml:space="preserve">Events - gross margin</t>
  </si>
  <si>
    <t xml:space="preserve">Curated, full-price sell-through.</t>
  </si>
  <si>
    <t xml:space="preserve">Consignment - product gross margin (before commission)</t>
  </si>
  <si>
    <t xml:space="preserve">5.  VARIABLE CHANNEL COSTS (move with sales)</t>
  </si>
  <si>
    <t xml:space="preserve">Store - merchant / payment fees</t>
  </si>
  <si>
    <t xml:space="preserve">E-commerce - payment gateway and platform transaction fees</t>
  </si>
  <si>
    <t xml:space="preserve">Events - merchant / payment fees</t>
  </si>
  <si>
    <t xml:space="preserve">Store - variable / casual labour</t>
  </si>
  <si>
    <t xml:space="preserve">Weekend and peak-hour cover above base roster.</t>
  </si>
  <si>
    <t xml:space="preserve">Store - other direct costs (packaging, consumables)</t>
  </si>
  <si>
    <t xml:space="preserve">E-commerce - fulfilment and shipping, net of customer recovery</t>
  </si>
  <si>
    <t xml:space="preserve">E-commerce - digital marketing</t>
  </si>
  <si>
    <t xml:space="preserve">Performance media; scales with revenue.</t>
  </si>
  <si>
    <t xml:space="preserve">Events - event costs (space, fixtures, transport, crew)</t>
  </si>
  <si>
    <t xml:space="preserve">Consignment - partner commission</t>
  </si>
  <si>
    <t xml:space="preserve">Deducted by the partner before remittance.</t>
  </si>
  <si>
    <t xml:space="preserve">Consignment - handling and logistics</t>
  </si>
  <si>
    <t xml:space="preserve">6.  STORE DIRECT FIXED COSTS (monthly)</t>
  </si>
  <si>
    <t xml:space="preserve">Store rent</t>
  </si>
  <si>
    <t xml:space="preserve">SGD/mth</t>
  </si>
  <si>
    <t xml:space="preserve">Flagship lease; next break option at the end of Q1 2027.</t>
  </si>
  <si>
    <t xml:space="preserve">Store base payroll (manager + 2 full-time)</t>
  </si>
  <si>
    <t xml:space="preserve">Store utilities and service charge</t>
  </si>
  <si>
    <t xml:space="preserve">Store POS and store software</t>
  </si>
  <si>
    <t xml:space="preserve">Store insurance and other occupancy</t>
  </si>
  <si>
    <t xml:space="preserve">Total store direct fixed costs</t>
  </si>
  <si>
    <t xml:space="preserve">7.  E-COMMERCE DIRECT FIXED COSTS (monthly)</t>
  </si>
  <si>
    <t xml:space="preserve">E-commerce platform, apps and subscriptions</t>
  </si>
  <si>
    <t xml:space="preserve">E-commerce and fulfilment payroll</t>
  </si>
  <si>
    <t xml:space="preserve">Total e-commerce direct fixed costs</t>
  </si>
  <si>
    <t xml:space="preserve">8.  SHARED OVERHEAD (monthly - not allocated to channels)</t>
  </si>
  <si>
    <t xml:space="preserve">Management and admin payroll</t>
  </si>
  <si>
    <t xml:space="preserve">Professional fees (accounting, tax, advisory)</t>
  </si>
  <si>
    <t xml:space="preserve">General software (accounting, payroll, productivity)</t>
  </si>
  <si>
    <t xml:space="preserve">Brand marketing (non-channel)</t>
  </si>
  <si>
    <t xml:space="preserve">Corporate admin, insurance and bank charges</t>
  </si>
  <si>
    <t xml:space="preserve">Total shared overhead</t>
  </si>
  <si>
    <t xml:space="preserve">9.  WORKING CAPITAL - CASH CONVERSION</t>
  </si>
  <si>
    <t xml:space="preserve">Store - % of sales collected in the week of sale</t>
  </si>
  <si>
    <t xml:space="preserve">%</t>
  </si>
  <si>
    <t xml:space="preserve">Card settlement T+2; balance lands the following week.</t>
  </si>
  <si>
    <t xml:space="preserve">E-commerce - % of sales collected in the week of sale</t>
  </si>
  <si>
    <t xml:space="preserve">Gateway payout cycle.</t>
  </si>
  <si>
    <t xml:space="preserve">Events - % of sales collected in the week of sale</t>
  </si>
  <si>
    <t xml:space="preserve">Cash and terminal takings banked at the event.</t>
  </si>
  <si>
    <t xml:space="preserve">Consignment - collection lag</t>
  </si>
  <si>
    <t xml:space="preserve">weeks</t>
  </si>
  <si>
    <t xml:space="preserve">Partners report and remit monthly in arrears.</t>
  </si>
  <si>
    <t xml:space="preserve">Store - receipts due in Week 1 from prior-week sales</t>
  </si>
  <si>
    <t xml:space="preserve">E-commerce - receipts due in Week 1 from prior-week sales</t>
  </si>
  <si>
    <t xml:space="preserve">Consignment receivable at Week 1 (net of commission)</t>
  </si>
  <si>
    <t xml:space="preserve">Calculated: four weeks of consignment sales, released evenly over Weeks 1-4.</t>
  </si>
  <si>
    <t xml:space="preserve">Inventory replenishment funded weekly</t>
  </si>
  <si>
    <t xml:space="preserve">% of weekly COGS</t>
  </si>
  <si>
    <t xml:space="preserve">Balance of stock intake comes from the scheduled AW26 buy below.</t>
  </si>
  <si>
    <t xml:space="preserve">10.  PAYMENT TIMING (day of month)</t>
  </si>
  <si>
    <t xml:space="preserve">Rent and monthly sundry costs paid on day</t>
  </si>
  <si>
    <t xml:space="preserve">day</t>
  </si>
  <si>
    <t xml:space="preserve">Term loan instalment paid on day</t>
  </si>
  <si>
    <t xml:space="preserve">Software subscriptions and brand marketing paid on day</t>
  </si>
  <si>
    <t xml:space="preserve">Utilities and service charge paid on day</t>
  </si>
  <si>
    <t xml:space="preserve">Professional fees paid on day</t>
  </si>
  <si>
    <t xml:space="preserve">Payroll paid on the last day of the month</t>
  </si>
  <si>
    <t xml:space="preserve">month end</t>
  </si>
  <si>
    <t xml:space="preserve">Driven by EOMONTH() on the 13W Cash Flow tab - no hardcoded week numbers.</t>
  </si>
  <si>
    <t xml:space="preserve">11.  OTHER CASH ITEMS</t>
  </si>
  <si>
    <t xml:space="preserve">Term loan instalment (renovation facility)</t>
  </si>
  <si>
    <t xml:space="preserve">Quarterly GST settlement</t>
  </si>
  <si>
    <t xml:space="preserve">Quarter ended 31 Aug 2026, payable by 30 Sep 2026.</t>
  </si>
  <si>
    <t xml:space="preserve">GST settlement falls in forecast week</t>
  </si>
  <si>
    <t xml:space="preserve">week no.</t>
  </si>
  <si>
    <t xml:space="preserve">12.  DERIVED CASH GROUPINGS (calculated - keeps P&amp;L and cash tied together)</t>
  </si>
  <si>
    <t xml:space="preserve">Corporate and admin payroll (cash row)</t>
  </si>
  <si>
    <t xml:space="preserve">Management/admin payroll plus e-commerce payroll.</t>
  </si>
  <si>
    <t xml:space="preserve">Software and subscriptions (cash row)</t>
  </si>
  <si>
    <t xml:space="preserve">Store POS + e-commerce platform + general software.</t>
  </si>
  <si>
    <t xml:space="preserve">Other operating expenses - monthly (cash row)</t>
  </si>
  <si>
    <t xml:space="preserve">Store insurance/occupancy + corporate admin.</t>
  </si>
  <si>
    <t xml:space="preserve">Total fixed cost base per month (all sheets)</t>
  </si>
  <si>
    <t xml:space="preserve">13.  HISTORICAL GROSS SALES BY CHANNEL - six months to 31 July 2026 (SGD)</t>
  </si>
  <si>
    <t xml:space="preserve">Channel</t>
  </si>
  <si>
    <t xml:space="preserve">Feb-26</t>
  </si>
  <si>
    <t xml:space="preserve">Mar-26</t>
  </si>
  <si>
    <t xml:space="preserve">Apr-26</t>
  </si>
  <si>
    <t xml:space="preserve">May-26</t>
  </si>
  <si>
    <t xml:space="preserve">Jun-26</t>
  </si>
  <si>
    <t xml:space="preserve">Jul-26</t>
  </si>
  <si>
    <t xml:space="preserve">6-mth total</t>
  </si>
  <si>
    <t xml:space="preserve">Monthly avg</t>
  </si>
  <si>
    <t xml:space="preserve">Physical store</t>
  </si>
  <si>
    <t xml:space="preserve">E-commerce</t>
  </si>
  <si>
    <t xml:space="preserve">Events / pop-ups</t>
  </si>
  <si>
    <t xml:space="preserve">Consignment</t>
  </si>
  <si>
    <t xml:space="preserve">Total gross sales</t>
  </si>
  <si>
    <t xml:space="preserve">Months with no scheduled pop-up show nil event revenue - the channel is genuinely lumpy.</t>
  </si>
  <si>
    <t xml:space="preserve">14.  FORECAST WEEKLY DRIVERS - seasonality indices and event calendar (Weeks 1-13)</t>
  </si>
  <si>
    <t xml:space="preserve">Driver</t>
  </si>
  <si>
    <t xml:space="preserve">Avg / check</t>
  </si>
  <si>
    <t xml:space="preserve">W1</t>
  </si>
  <si>
    <t xml:space="preserve">W2</t>
  </si>
  <si>
    <t xml:space="preserve">W3</t>
  </si>
  <si>
    <t xml:space="preserve">W4</t>
  </si>
  <si>
    <t xml:space="preserve">W5</t>
  </si>
  <si>
    <t xml:space="preserve">W6</t>
  </si>
  <si>
    <t xml:space="preserve">W7</t>
  </si>
  <si>
    <t xml:space="preserve">W8</t>
  </si>
  <si>
    <t xml:space="preserve">W9</t>
  </si>
  <si>
    <t xml:space="preserve">W10</t>
  </si>
  <si>
    <t xml:space="preserve">W11</t>
  </si>
  <si>
    <t xml:space="preserve">W12</t>
  </si>
  <si>
    <t xml:space="preserve">W13</t>
  </si>
  <si>
    <t xml:space="preserve">Store demand index</t>
  </si>
  <si>
    <t xml:space="preserve">E-commerce demand index</t>
  </si>
  <si>
    <t xml:space="preserve">Event intensity (0 = no event; 1.0 = standard pop-up)</t>
  </si>
  <si>
    <t xml:space="preserve">Consignment demand index</t>
  </si>
  <si>
    <t xml:space="preserve">National Day trading in W2; AW26 launch builds through W10-W13; pop-ups scheduled in W2, W7, W11 and W13.</t>
  </si>
  <si>
    <t xml:space="preserve">15.  INVENTORY - SCHEDULED AW26 BUY PAYMENTS (in addition to weekly replenishment)</t>
  </si>
  <si>
    <t xml:space="preserve">Purchase commitment</t>
  </si>
  <si>
    <t xml:space="preserve">Amount (SGD)</t>
  </si>
  <si>
    <t xml:space="preserve">Due week</t>
  </si>
  <si>
    <t xml:space="preserve">AW26 core outerwear - 30% deposit on order</t>
  </si>
  <si>
    <t xml:space="preserve">AW26 knitwear and jersey - shipment balance</t>
  </si>
  <si>
    <t xml:space="preserve">AW26 main drop - shipment balance</t>
  </si>
  <si>
    <t xml:space="preserve">Holiday capsule and accessories - deposit</t>
  </si>
  <si>
    <t xml:space="preserve">Total scheduled AW26 buy payments</t>
  </si>
  <si>
    <t xml:space="preserve">Source: signed AW26 purchase orders and supplier payment schedule (30% deposit on order, balance on shipment).</t>
  </si>
  <si>
    <t xml:space="preserve">16.  OTHER / ONE-OFF RECEIPTS</t>
  </si>
  <si>
    <t xml:space="preserve">Other or one-off receipt (base case)</t>
  </si>
  <si>
    <t xml:space="preserve">Base case assumes none; used by the exit scenario.</t>
  </si>
  <si>
    <t xml:space="preserve">Week of receipt (0 = none)</t>
  </si>
  <si>
    <t xml:space="preserve">Rolling 13-week cash-flow forecast  ·  week commencing Monday 3 August 2026</t>
  </si>
  <si>
    <t xml:space="preserve">Timing driver</t>
  </si>
  <si>
    <t xml:space="preserve">Week 1</t>
  </si>
  <si>
    <t xml:space="preserve">Week 2</t>
  </si>
  <si>
    <t xml:space="preserve">Week 3</t>
  </si>
  <si>
    <t xml:space="preserve">Week 4</t>
  </si>
  <si>
    <t xml:space="preserve">Week 5</t>
  </si>
  <si>
    <t xml:space="preserve">Week 6</t>
  </si>
  <si>
    <t xml:space="preserve">Week 7</t>
  </si>
  <si>
    <t xml:space="preserve">Week 8</t>
  </si>
  <si>
    <t xml:space="preserve">Week 9</t>
  </si>
  <si>
    <t xml:space="preserve">Week 10</t>
  </si>
  <si>
    <t xml:space="preserve">Week 11</t>
  </si>
  <si>
    <t xml:space="preserve">Week 12</t>
  </si>
  <si>
    <t xml:space="preserve">Week 13</t>
  </si>
  <si>
    <t xml:space="preserve">13-Week Total</t>
  </si>
  <si>
    <t xml:space="preserve">Weekly Average</t>
  </si>
  <si>
    <t xml:space="preserve">Week number</t>
  </si>
  <si>
    <t xml:space="preserve">Week commencing</t>
  </si>
  <si>
    <t xml:space="preserve">Week ending</t>
  </si>
  <si>
    <t xml:space="preserve">OPENING CASH</t>
  </si>
  <si>
    <t xml:space="preserve">prior week close</t>
  </si>
  <si>
    <t xml:space="preserve">CASH RECEIPTS</t>
  </si>
  <si>
    <t xml:space="preserve">Physical store receipts</t>
  </si>
  <si>
    <t xml:space="preserve">92% same week</t>
  </si>
  <si>
    <t xml:space="preserve">E-commerce receipts</t>
  </si>
  <si>
    <t xml:space="preserve">85% same week</t>
  </si>
  <si>
    <t xml:space="preserve">Events / pop-up receipts</t>
  </si>
  <si>
    <t xml:space="preserve">banked at event</t>
  </si>
  <si>
    <t xml:space="preserve">Consignment receipts (net of partner commission)</t>
  </si>
  <si>
    <t xml:space="preserve">4-week lag</t>
  </si>
  <si>
    <t xml:space="preserve">Other / one-off receipts</t>
  </si>
  <si>
    <t xml:space="preserve">one-off schedule</t>
  </si>
  <si>
    <t xml:space="preserve">Total cash receipts</t>
  </si>
  <si>
    <t xml:space="preserve">CASH OUTFLOWS</t>
  </si>
  <si>
    <t xml:space="preserve">Inventory and supplier payments</t>
  </si>
  <si>
    <t xml:space="preserve">replenish + AW26 buy</t>
  </si>
  <si>
    <t xml:space="preserve">Store payroll</t>
  </si>
  <si>
    <t xml:space="preserve">Corporate and admin payroll</t>
  </si>
  <si>
    <t xml:space="preserve">Rent</t>
  </si>
  <si>
    <t xml:space="preserve">1st of month</t>
  </si>
  <si>
    <t xml:space="preserve">Digital and brand marketing</t>
  </si>
  <si>
    <t xml:space="preserve">% of e-comm + monthly</t>
  </si>
  <si>
    <t xml:space="preserve">Shipping, fulfilment and handling</t>
  </si>
  <si>
    <t xml:space="preserve">% of sales</t>
  </si>
  <si>
    <t xml:space="preserve">Merchant and payment fees</t>
  </si>
  <si>
    <t xml:space="preserve">Event costs</t>
  </si>
  <si>
    <t xml:space="preserve">% of event sales</t>
  </si>
  <si>
    <t xml:space="preserve">Store variable labour</t>
  </si>
  <si>
    <t xml:space="preserve">% of store sales</t>
  </si>
  <si>
    <t xml:space="preserve">Utilities and service charge</t>
  </si>
  <si>
    <t xml:space="preserve">15th</t>
  </si>
  <si>
    <t xml:space="preserve">Software and subscriptions</t>
  </si>
  <si>
    <t xml:space="preserve">10th</t>
  </si>
  <si>
    <t xml:space="preserve">Professional fees</t>
  </si>
  <si>
    <t xml:space="preserve">20th</t>
  </si>
  <si>
    <t xml:space="preserve">GST settlement</t>
  </si>
  <si>
    <t xml:space="preserve">quarterly</t>
  </si>
  <si>
    <t xml:space="preserve">Term loan repayment</t>
  </si>
  <si>
    <t xml:space="preserve">5th</t>
  </si>
  <si>
    <t xml:space="preserve">Other operating expenses</t>
  </si>
  <si>
    <t xml:space="preserve">monthly + variable</t>
  </si>
  <si>
    <t xml:space="preserve">Total cash outflows</t>
  </si>
  <si>
    <t xml:space="preserve">CASH SUMMARY</t>
  </si>
  <si>
    <t xml:space="preserve">Net weekly cash movement</t>
  </si>
  <si>
    <t xml:space="preserve">CLOSING CASH</t>
  </si>
  <si>
    <t xml:space="preserve">Minimum cash threshold</t>
  </si>
  <si>
    <t xml:space="preserve">Headroom / (shortfall) vs threshold</t>
  </si>
  <si>
    <t xml:space="preserve">KEY OUTPUTS  -  these cells feed the Dashboard</t>
  </si>
  <si>
    <t xml:space="preserve">Opening cash - Week 1</t>
  </si>
  <si>
    <t xml:space="preserve">Per the Assumptions tab.</t>
  </si>
  <si>
    <t xml:space="preserve">Closing cash - Week 13</t>
  </si>
  <si>
    <t xml:space="preserve">Net cash movement over 13 weeks</t>
  </si>
  <si>
    <t xml:space="preserve">Average weekly net cash movement</t>
  </si>
  <si>
    <t xml:space="preserve">Negative = weekly cash burn.</t>
  </si>
  <si>
    <t xml:space="preserve">Lowest projected cash balance</t>
  </si>
  <si>
    <t xml:space="preserve">Week of lowest cash</t>
  </si>
  <si>
    <t xml:space="preserve">Week commencing of lowest cash</t>
  </si>
  <si>
    <t xml:space="preserve">Headroom / (shortfall) at the lowest point</t>
  </si>
  <si>
    <t xml:space="preserve">Weeks below the minimum cash threshold</t>
  </si>
  <si>
    <t xml:space="preserve">Cash runway to nil cash at the average weekly burn</t>
  </si>
  <si>
    <t xml:space="preserve">Closing cash divided by the average weekly burn.</t>
  </si>
  <si>
    <t xml:space="preserve">Cash runway to the minimum threshold at the average weekly burn</t>
  </si>
  <si>
    <t xml:space="preserve">Average weekly cash burn (positive number)</t>
  </si>
  <si>
    <t xml:space="preserve">Roll-forward: Opening cash + Total receipts - Total outflows = Closing cash, and next week's opening cash equals this week's closing cash. Both identities are tested on the Controls tab.</t>
  </si>
  <si>
    <t xml:space="preserve">SUPPORTING CALCULATIONS  -  drivers, cash conversion and payment timing</t>
  </si>
  <si>
    <t xml:space="preserve">Payment timing flags   (1 = the payment date falls inside that week; driven by the week dates, not by hardcoded week numbers)</t>
  </si>
  <si>
    <t xml:space="preserve">Rent and monthly sundry costs (day 1)</t>
  </si>
  <si>
    <t xml:space="preserve">DATE / AND test</t>
  </si>
  <si>
    <t xml:space="preserve">Term loan instalment (day 5)</t>
  </si>
  <si>
    <t xml:space="preserve">Software and brand marketing (day 10)</t>
  </si>
  <si>
    <t xml:space="preserve">Utilities and service charge (day 15)</t>
  </si>
  <si>
    <t xml:space="preserve">Professional fees (day 20)</t>
  </si>
  <si>
    <t xml:space="preserve">Payroll (last day of month)</t>
  </si>
  <si>
    <t xml:space="preserve">EOMONTH test</t>
  </si>
  <si>
    <t xml:space="preserve">Net sales by channel   (gross weekly run-rate x seasonality index, less discounts and returns)</t>
  </si>
  <si>
    <t xml:space="preserve">run-rate x index</t>
  </si>
  <si>
    <t xml:space="preserve">event calendar</t>
  </si>
  <si>
    <t xml:space="preserve">Total net sales</t>
  </si>
  <si>
    <t xml:space="preserve">Cost of goods sold</t>
  </si>
  <si>
    <t xml:space="preserve">Total cost of goods sold</t>
  </si>
  <si>
    <t xml:space="preserve">Inventory purchase build</t>
  </si>
  <si>
    <t xml:space="preserve">Ongoing replenishment purchases</t>
  </si>
  <si>
    <t xml:space="preserve">Scheduled AW26 buy payments</t>
  </si>
  <si>
    <t xml:space="preserve">purchase schedule</t>
  </si>
  <si>
    <t xml:space="preserve">Total inventory and supplier payments</t>
  </si>
  <si>
    <t xml:space="preserve">Management P&amp;L by channel  ·  six months ended 31 July 2026</t>
  </si>
  <si>
    <t xml:space="preserve">Months in period</t>
  </si>
  <si>
    <t xml:space="preserve">Shared overhead is deliberately NOT allocated in the primary view - see the memo section below.</t>
  </si>
  <si>
    <t xml:space="preserve">SGD - six months</t>
  </si>
  <si>
    <t xml:space="preserve">Rate</t>
  </si>
  <si>
    <t xml:space="preserve">Physical Store</t>
  </si>
  <si>
    <t xml:space="preserve">Events / Pop-ups</t>
  </si>
  <si>
    <t xml:space="preserve">Total Business</t>
  </si>
  <si>
    <t xml:space="preserve">% of total net revenue</t>
  </si>
  <si>
    <t xml:space="preserve">Gross sales</t>
  </si>
  <si>
    <t xml:space="preserve">Discounts and returns</t>
  </si>
  <si>
    <t xml:space="preserve">Net revenue</t>
  </si>
  <si>
    <t xml:space="preserve">Gross profit</t>
  </si>
  <si>
    <t xml:space="preserve">Gross margin %</t>
  </si>
  <si>
    <t xml:space="preserve">VARIABLE CHANNEL COSTS  (move directly with channel sales)</t>
  </si>
  <si>
    <t xml:space="preserve">Payment and merchant fees</t>
  </si>
  <si>
    <t xml:space="preserve">Fulfilment, shipping and handling</t>
  </si>
  <si>
    <t xml:space="preserve">Consignment partner commissions</t>
  </si>
  <si>
    <t xml:space="preserve">Variable store labour</t>
  </si>
  <si>
    <t xml:space="preserve">Channel marketing (digital performance media)</t>
  </si>
  <si>
    <t xml:space="preserve">Event costs (space, fixtures, transport, crew)</t>
  </si>
  <si>
    <t xml:space="preserve">Other direct operating costs</t>
  </si>
  <si>
    <t xml:space="preserve">Total variable channel costs</t>
  </si>
  <si>
    <t xml:space="preserve">CONTRIBUTION PROFIT</t>
  </si>
  <si>
    <t xml:space="preserve">Contribution margin %</t>
  </si>
  <si>
    <t xml:space="preserve">DIRECT FIXED COSTS  (attributable to a single channel; avoided if that channel closes)</t>
  </si>
  <si>
    <t xml:space="preserve">Store base payroll</t>
  </si>
  <si>
    <t xml:space="preserve">Total direct fixed costs</t>
  </si>
  <si>
    <t xml:space="preserve">DIRECT CHANNEL PROFIT / (LOSS)</t>
  </si>
  <si>
    <t xml:space="preserve">Direct channel margin %</t>
  </si>
  <si>
    <t xml:space="preserve">SHARED OVERHEAD  (not attributable to a single channel - shown in total only)</t>
  </si>
  <si>
    <t xml:space="preserve">General software</t>
  </si>
  <si>
    <t xml:space="preserve">OPERATING PROFIT (after shared overhead)</t>
  </si>
  <si>
    <t xml:space="preserve">Operating margin %</t>
  </si>
  <si>
    <t xml:space="preserve">MEMO  -  fully-absorbed view (shared overhead allocated on share of net revenue)</t>
  </si>
  <si>
    <t xml:space="preserve">Allocation basis - share of total net revenue</t>
  </si>
  <si>
    <t xml:space="preserve">Allocated shared overhead</t>
  </si>
  <si>
    <t xml:space="preserve">Fully-absorbed channel profit / (loss)</t>
  </si>
  <si>
    <t xml:space="preserve">Check: allocated overhead agrees to total shared overhead (must be nil)</t>
  </si>
  <si>
    <t xml:space="preserve">MONTHLY AVERAGE  (six-month basis - feeds the Store Break-Even tab)</t>
  </si>
  <si>
    <t xml:space="preserve">Net revenue per month</t>
  </si>
  <si>
    <t xml:space="preserve">Cost of goods sold per month</t>
  </si>
  <si>
    <t xml:space="preserve">Variable channel costs per month</t>
  </si>
  <si>
    <t xml:space="preserve">Contribution profit per month</t>
  </si>
  <si>
    <t xml:space="preserve">Direct fixed costs per month</t>
  </si>
  <si>
    <t xml:space="preserve">Direct channel profit / (loss) per month</t>
  </si>
  <si>
    <t xml:space="preserve">Reading note: contribution margin measures each channel before any fixed cost. Direct channel profit then charges only the fixed costs that would genuinely disappear if that channel closed. Shared overhead is held back because allocating it would make a decision look different without changing a single cash flow.</t>
  </si>
  <si>
    <t xml:space="preserve">Flagship store viability and break-even analysis  ·  monthly basis</t>
  </si>
  <si>
    <t xml:space="preserve">STORE VIABILITY AT A GLANCE</t>
  </si>
  <si>
    <t xml:space="preserve">CURRENT STORE TRADING  -  SGD per month, six-month average to 31 July 2026</t>
  </si>
  <si>
    <t xml:space="preserve">CURRENT NET SALES / MONTH</t>
  </si>
  <si>
    <t xml:space="preserve">BREAK-EVEN NET SALES / MONTH</t>
  </si>
  <si>
    <t xml:space="preserve">Store net sales</t>
  </si>
  <si>
    <t xml:space="preserve">Six-month average</t>
  </si>
  <si>
    <t xml:space="preserve">Fixed costs / contribution margin</t>
  </si>
  <si>
    <t xml:space="preserve">SALES GAP TO BREAK-EVEN</t>
  </si>
  <si>
    <t xml:space="preserve">MARGIN OF SAFETY</t>
  </si>
  <si>
    <t xml:space="preserve">Variable operating costs  (move with store sales)</t>
  </si>
  <si>
    <t xml:space="preserve">Negative = trading below break-even</t>
  </si>
  <si>
    <t xml:space="preserve">Variable / casual store labour</t>
  </si>
  <si>
    <t xml:space="preserve">CONTRIBUTION MARGIN</t>
  </si>
  <si>
    <t xml:space="preserve">STORE PROFIT / (LOSS) PER MONTH</t>
  </si>
  <si>
    <t xml:space="preserve">Total variable operating costs</t>
  </si>
  <si>
    <t xml:space="preserve">Per S$1 of store net sales</t>
  </si>
  <si>
    <t xml:space="preserve">After directly attributable fixed costs</t>
  </si>
  <si>
    <t xml:space="preserve">Variable costs as % of net sales</t>
  </si>
  <si>
    <t xml:space="preserve">Every S$1 of extra store sales contributes this much toward fixed costs.</t>
  </si>
  <si>
    <t xml:space="preserve">Fixed store costs  (do not move with sales; avoided only on closure)</t>
  </si>
  <si>
    <t xml:space="preserve">Base payroll</t>
  </si>
  <si>
    <t xml:space="preserve">POS and store software</t>
  </si>
  <si>
    <t xml:space="preserve">Insurance and other occupancy</t>
  </si>
  <si>
    <t xml:space="preserve">Total fixed store costs</t>
  </si>
  <si>
    <t xml:space="preserve">STORE PROFIT / (LOSS)  -  per month</t>
  </si>
  <si>
    <t xml:space="preserve">Store profit / (loss)  -  annualised</t>
  </si>
  <si>
    <t xml:space="preserve">BREAK-EVEN ANALYSIS      Break-even sales = fixed store costs / contribution margin %</t>
  </si>
  <si>
    <t xml:space="preserve">Break-even net sales - per month</t>
  </si>
  <si>
    <t xml:space="preserve">Break-even net sales - per week</t>
  </si>
  <si>
    <t xml:space="preserve">Current net sales - per month</t>
  </si>
  <si>
    <t xml:space="preserve">Sales above / (below) break-even</t>
  </si>
  <si>
    <t xml:space="preserve">Margin of safety %</t>
  </si>
  <si>
    <t xml:space="preserve">Negative = trading below break-even.</t>
  </si>
  <si>
    <t xml:space="preserve">Sales uplift required to break even</t>
  </si>
  <si>
    <t xml:space="preserve">Sales uplift required to break even - S$ per month</t>
  </si>
  <si>
    <t xml:space="preserve">Alternatively: gross-margin uplift required to break even</t>
  </si>
  <si>
    <t xml:space="preserve">Percentage points of margin, holding sales flat.</t>
  </si>
  <si>
    <t xml:space="preserve">Alternatively: rent reduction required to break even</t>
  </si>
  <si>
    <t xml:space="preserve">S$ per month, holding sales and margin flat.</t>
  </si>
  <si>
    <t xml:space="preserve">Rent reduction required - % of current rent</t>
  </si>
  <si>
    <t xml:space="preserve">MEMO  -  cross-check against the 13-week forecast run-rate</t>
  </si>
  <si>
    <t xml:space="preserve">Forecast store net sales - 13 weeks</t>
  </si>
  <si>
    <t xml:space="preserve">Equivalent monthly run-rate</t>
  </si>
  <si>
    <t xml:space="preserve">Forecast run-rate vs break-even</t>
  </si>
  <si>
    <t xml:space="preserve">Forward-looking cross-check on the historic position above.</t>
  </si>
  <si>
    <t xml:space="preserve">SENSITIVITY 1  -  monthly store profit / (loss) by sales change and gross margin</t>
  </si>
  <si>
    <t xml:space="preserve">Gross margin step (+/- percentage points)</t>
  </si>
  <si>
    <t xml:space="preserve">Gross margin scenario</t>
  </si>
  <si>
    <t xml:space="preserve">Downside</t>
  </si>
  <si>
    <t xml:space="preserve">Base</t>
  </si>
  <si>
    <t xml:space="preserve">Upside</t>
  </si>
  <si>
    <t xml:space="preserve">Positive = store covers its own fixed costs at that combination of sales and margin.</t>
  </si>
  <si>
    <t xml:space="preserve">SENSITIVITY 2  -  break-even monthly sales by gross margin and rent</t>
  </si>
  <si>
    <t xml:space="preserve">Compare each cell with current monthly net sales. Rent columns show the break-even sales level if the lease were renegotiated by that percentage.</t>
  </si>
  <si>
    <t xml:space="preserve">DRIVER SENSITIVITY  -  what actually drives store viability</t>
  </si>
  <si>
    <t xml:space="preserve">Sensitivity step applied to each driver</t>
  </si>
  <si>
    <t xml:space="preserve">Adverse move</t>
  </si>
  <si>
    <t xml:space="preserve">Favourable move</t>
  </si>
  <si>
    <t xml:space="preserve">Swing in monthly profit</t>
  </si>
  <si>
    <t xml:space="preserve">Variable cost %</t>
  </si>
  <si>
    <t xml:space="preserve">The widest swing identifies the dominant lever. Sales and gross margin move store profit far more than a proportionate change in rent or base payroll, so a trading recovery - not a cost cut alone - is what decides whether the store stays open.</t>
  </si>
  <si>
    <t xml:space="preserve">Management scenarios  ·  13-week cash outcome and monthly run-rate P&amp;L</t>
  </si>
  <si>
    <t xml:space="preserve">SCENARIO LEVERS   -   the only inputs on this sheet (amber cells)</t>
  </si>
  <si>
    <t xml:space="preserve">Lever</t>
  </si>
  <si>
    <t xml:space="preserve">1. Current Operations</t>
  </si>
  <si>
    <t xml:space="preserve">2. Store Improvement</t>
  </si>
  <si>
    <t xml:space="preserve">3. Store Exit / Channel Shift</t>
  </si>
  <si>
    <t xml:space="preserve">Note</t>
  </si>
  <si>
    <t xml:space="preserve">Store net sales change</t>
  </si>
  <si>
    <t xml:space="preserve">Improvement case: conversion, clienteling and appointment selling.</t>
  </si>
  <si>
    <t xml:space="preserve">Store gross margin change (percentage points)</t>
  </si>
  <si>
    <t xml:space="preserve">Tighter markdown control and better buy discipline.</t>
  </si>
  <si>
    <t xml:space="preserve">Store base payroll change</t>
  </si>
  <si>
    <t xml:space="preserve">Reduced opening hours on the two quietest trading days.</t>
  </si>
  <si>
    <t xml:space="preserve">Store other fixed cost change</t>
  </si>
  <si>
    <t xml:space="preserve">Utilities, POS and sundry occupancy.</t>
  </si>
  <si>
    <t xml:space="preserve">E-commerce sales change (before migration)</t>
  </si>
  <si>
    <t xml:space="preserve">Share of lost store demand migrating to e-commerce</t>
  </si>
  <si>
    <t xml:space="preserve">Deliberately NOT 100%: walk-in and tourist demand does not follow the brand online.</t>
  </si>
  <si>
    <t xml:space="preserve">Digital marketing spend factor</t>
  </si>
  <si>
    <t xml:space="preserve">Exit case funds paid media to recapture migrating demand.</t>
  </si>
  <si>
    <t xml:space="preserve">Store closure effective at the end of week (0 = no closure)</t>
  </si>
  <si>
    <t xml:space="preserve">One-off exit costs</t>
  </si>
  <si>
    <t xml:space="preserve">Lease break S$33k, reinstatement S$45k, redundancy S$18k.</t>
  </si>
  <si>
    <t xml:space="preserve">Share of exit costs settled in the first instalment</t>
  </si>
  <si>
    <t xml:space="preserve">First exit-cost instalment - week</t>
  </si>
  <si>
    <t xml:space="preserve">Second exit-cost instalment - week</t>
  </si>
  <si>
    <t xml:space="preserve">Store inventory release - one-off cash inflow</t>
  </si>
  <si>
    <t xml:space="preserve">Clearance of store floor stock.</t>
  </si>
  <si>
    <t xml:space="preserve">Week of inventory release</t>
  </si>
  <si>
    <t xml:space="preserve">Inventory replenishment factor after closure (x base)</t>
  </si>
  <si>
    <t xml:space="preserve">Smaller forward buy once the store is gone.</t>
  </si>
  <si>
    <t xml:space="preserve">MONTHLY RUN-RATE P&amp;L  -  steady state once each scenario is fully in effect</t>
  </si>
  <si>
    <t xml:space="preserve">SGD per month</t>
  </si>
  <si>
    <t xml:space="preserve">S2 vs S1</t>
  </si>
  <si>
    <t xml:space="preserve">S3 vs S1</t>
  </si>
  <si>
    <t xml:space="preserve">E-commerce net sales</t>
  </si>
  <si>
    <t xml:space="preserve">Events / pop-up net sales</t>
  </si>
  <si>
    <t xml:space="preserve">Consignment net sales</t>
  </si>
  <si>
    <t xml:space="preserve">NET REVENUE</t>
  </si>
  <si>
    <t xml:space="preserve">Contribution margin % - physical store</t>
  </si>
  <si>
    <t xml:space="preserve">Contribution margin % - e-commerce</t>
  </si>
  <si>
    <t xml:space="preserve">Contribution margin % - events</t>
  </si>
  <si>
    <t xml:space="preserve">Contribution margin % - consignment</t>
  </si>
  <si>
    <t xml:space="preserve">Contribution profit - physical store</t>
  </si>
  <si>
    <t xml:space="preserve">Contribution profit - e-commerce</t>
  </si>
  <si>
    <t xml:space="preserve">Contribution profit - events / pop-ups</t>
  </si>
  <si>
    <t xml:space="preserve">Contribution profit - consignment</t>
  </si>
  <si>
    <t xml:space="preserve">TOTAL CONTRIBUTION PROFIT</t>
  </si>
  <si>
    <t xml:space="preserve">Direct fixed costs - physical store</t>
  </si>
  <si>
    <t xml:space="preserve">Direct fixed costs - e-commerce</t>
  </si>
  <si>
    <t xml:space="preserve">Direct channel profit</t>
  </si>
  <si>
    <t xml:space="preserve">Shared overhead</t>
  </si>
  <si>
    <t xml:space="preserve">OPERATING PROFIT  (monthly run-rate)</t>
  </si>
  <si>
    <t xml:space="preserve">Store break-even net sales per month</t>
  </si>
  <si>
    <t xml:space="preserve">Store net sales vs break-even</t>
  </si>
  <si>
    <t xml:space="preserve">Negative = the store is trading below its own break-even point.</t>
  </si>
  <si>
    <t xml:space="preserve">13-WEEK CASH OUTCOME COMPARISON   -   linked to the weekly blocks below</t>
  </si>
  <si>
    <t xml:space="preserve">SGD unless stated</t>
  </si>
  <si>
    <t xml:space="preserve">Net sales over 13 weeks</t>
  </si>
  <si>
    <t xml:space="preserve">Cash receipts</t>
  </si>
  <si>
    <t xml:space="preserve">Cash outflows</t>
  </si>
  <si>
    <t xml:space="preserve">Net cash movement</t>
  </si>
  <si>
    <t xml:space="preserve">Opening cash</t>
  </si>
  <si>
    <t xml:space="preserve">CLOSING CASH - WEEK 13</t>
  </si>
  <si>
    <t xml:space="preserve">Cash runway at the average weekly burn</t>
  </si>
  <si>
    <t xml:space="preserve">DECISION THRESHOLDS   -   what has to be true for each course of action to be right</t>
  </si>
  <si>
    <t xml:space="preserve">Migration required for Scenario 3 to match Scenario 1</t>
  </si>
  <si>
    <t xml:space="preserve">Share of lost store demand that must move online.</t>
  </si>
  <si>
    <t xml:space="preserve">Migration required for Scenario 3 to match Scenario 2</t>
  </si>
  <si>
    <t xml:space="preserve">Compare with the 25% migration assumed in the exit case.</t>
  </si>
  <si>
    <t xml:space="preserve">Store monthly net sales required to break even - current cost base</t>
  </si>
  <si>
    <t xml:space="preserve">Store monthly net sales required to break even - improvement cost base</t>
  </si>
  <si>
    <t xml:space="preserve">Net one-off cash cost of exit (exit costs less inventory release)</t>
  </si>
  <si>
    <t xml:space="preserve">Monthly operating profit uplift of Scenario 3 over Scenario 1</t>
  </si>
  <si>
    <t xml:space="preserve">Payback period on the net exit cost (months)</t>
  </si>
  <si>
    <t xml:space="preserve">Trade-off: Scenario 2 protects revenue and delivers the strongest 13-week cash position, but it depends on management actually achieving the sales and margin uplift. Scenario 3 improves the fixed-cost base permanently, yet it consumes cash first, permanently removes store revenue, and only beats the improvement case if online migration is far higher than the 25% assumed here.</t>
  </si>
  <si>
    <t xml:space="preserve">SCENARIO 1 - CURRENT OPERATIONS:  13-week cash flow  (SGD)</t>
  </si>
  <si>
    <t xml:space="preserve">Store open factor (1 = trading, 0 = closed)</t>
  </si>
  <si>
    <t xml:space="preserve">closure week test</t>
  </si>
  <si>
    <t xml:space="preserve">base x lever</t>
  </si>
  <si>
    <t xml:space="preserve">base + migration</t>
  </si>
  <si>
    <t xml:space="preserve">unchanged</t>
  </si>
  <si>
    <t xml:space="preserve">Store receipts</t>
  </si>
  <si>
    <t xml:space="preserve">Consignment receipts (net of commission)</t>
  </si>
  <si>
    <t xml:space="preserve">One-off receipts (inventory release / other)</t>
  </si>
  <si>
    <t xml:space="preserve">replenish + AW26</t>
  </si>
  <si>
    <t xml:space="preserve">Payroll - store and corporate</t>
  </si>
  <si>
    <t xml:space="preserve">Rent and store occupancy</t>
  </si>
  <si>
    <t xml:space="preserve">1st / 10th / 15th</t>
  </si>
  <si>
    <t xml:space="preserve">Marketing - digital and brand</t>
  </si>
  <si>
    <t xml:space="preserve">Event costs and store variable costs</t>
  </si>
  <si>
    <t xml:space="preserve">Corporate fixed outflows (software, professional fees, admin)</t>
  </si>
  <si>
    <t xml:space="preserve">10th / 20th / 1st</t>
  </si>
  <si>
    <t xml:space="preserve">GST settlement and debt service</t>
  </si>
  <si>
    <t xml:space="preserve">quarterly / 5th</t>
  </si>
  <si>
    <t xml:space="preserve">exit schedule</t>
  </si>
  <si>
    <t xml:space="preserve">Headroom / (shortfall) vs minimum threshold</t>
  </si>
  <si>
    <t xml:space="preserve">SCENARIO 2 - STORE IMPROVEMENT:  13-week cash flow  (SGD)</t>
  </si>
  <si>
    <t xml:space="preserve">SCENARIO 3 - STORE EXIT / CHANNEL SHIFT:  13-week cash flow  (SGD)</t>
  </si>
  <si>
    <t xml:space="preserve">Management dashboard  ·  13 weeks from 3 August 2026</t>
  </si>
  <si>
    <t xml:space="preserve">CASH POSITION AND RUNWAY</t>
  </si>
  <si>
    <t xml:space="preserve">OPENING CASH  ·  WEEK 1</t>
  </si>
  <si>
    <t xml:space="preserve">ENDING CASH  ·  WEEK 13</t>
  </si>
  <si>
    <t xml:space="preserve">LOWEST CASH POINT</t>
  </si>
  <si>
    <t xml:space="preserve">CASH RUNWAY</t>
  </si>
  <si>
    <t xml:space="preserve">Bank balance at 3 August 2026</t>
  </si>
  <si>
    <t xml:space="preserve">To nil cash at the average weekly burn</t>
  </si>
  <si>
    <t xml:space="preserve">TRADING AND STORE VIABILITY</t>
  </si>
  <si>
    <t xml:space="preserve">NET REVENUE  ·  13 WEEKS</t>
  </si>
  <si>
    <t xml:space="preserve">GROSS MARGIN</t>
  </si>
  <si>
    <t xml:space="preserve">STORE BREAK-EVEN GAP</t>
  </si>
  <si>
    <t xml:space="preserve">Forecast across all four channels</t>
  </si>
  <si>
    <t xml:space="preserve">Six months ended 31 July 2026</t>
  </si>
  <si>
    <t xml:space="preserve">WHAT THIS MEANS</t>
  </si>
  <si>
    <t xml:space="preserve">All figures synthetic. Every KPI and chart on this page links directly to the calculation sheets - no dashboard number is keyed independently.</t>
  </si>
  <si>
    <t xml:space="preserve">CHART DATA  -  links to the model; nothing here is keyed independently</t>
  </si>
  <si>
    <t xml:space="preserve">Week</t>
  </si>
  <si>
    <t xml:space="preserve">Closing cash</t>
  </si>
  <si>
    <t xml:space="preserve">Minimum buffer</t>
  </si>
  <si>
    <t xml:space="preserve">Contribution profit / month</t>
  </si>
  <si>
    <t xml:space="preserve">Direct channel profit / month</t>
  </si>
  <si>
    <t xml:space="preserve">Flagship store</t>
  </si>
  <si>
    <t xml:space="preserve">Current net sales</t>
  </si>
  <si>
    <t xml:space="preserve">Break-even sales</t>
  </si>
  <si>
    <t xml:space="preserve">Scenario</t>
  </si>
  <si>
    <t xml:space="preserve">Ending cash - Week 13</t>
  </si>
  <si>
    <t xml:space="preserve">Lowest projected cash</t>
  </si>
  <si>
    <t xml:space="preserve">Management summary  ·  findings, consequences and recommended actions</t>
  </si>
  <si>
    <t xml:space="preserve">Finding</t>
  </si>
  <si>
    <t xml:space="preserve">Why it matters</t>
  </si>
  <si>
    <t xml:space="preserve">Recommended action</t>
  </si>
  <si>
    <t xml:space="preserve">1.   Cash headroom disappears in Week 9</t>
  </si>
  <si>
    <t xml:space="preserve">The business is not close to running out of cash, but it breaches its own liquidity policy in the week when the AW26 buy, month-end payroll, rent and quarterly GST all land together. One slow trading week or one supplier pulling terms forward turns a policy breach into a funding problem.</t>
  </si>
  <si>
    <t xml:space="preserve">Treat Weeks 8-11 as a managed cash window: move to weekly forecast reviews and agree a standby facility of roughly S$75,000 now, while the bank is looking at a profitable trading record.</t>
  </si>
  <si>
    <t xml:space="preserve">2.   Inventory timing, not trading, drains the cash</t>
  </si>
  <si>
    <t xml:space="preserve">This is a working-capital timing problem wearing the costume of a profitability problem. Cutting operating cost would do far less for cash than moving one payment date, and would damage trading.</t>
  </si>
  <si>
    <t xml:space="preserve">Split the Week 8 tranche 60/40 across Weeks 8 and 12, or move the balance to 45-day terms. Re-phasing about S$33,000 keeps every week above the buffer without touching stock intake.</t>
  </si>
  <si>
    <t xml:space="preserve">3.   The store trades marginally below break-even</t>
  </si>
  <si>
    <t xml:space="preserve">The store is a rounding error away from covering its own costs. The driver ranking shows sales and gross margin move store profit roughly three times as hard as a proportionate move in rent or payroll, so this is a trading question, not a cost-cutting question.</t>
  </si>
  <si>
    <t xml:space="preserve">4.   Best margin per sale, worst fixed-cost recovery</t>
  </si>
  <si>
    <t xml:space="preserve">Judging channels on gross margin alone would keep the store and starve e-commerce. The store's problem is the rent and base payroll it must clear before the first sale counts.</t>
  </si>
  <si>
    <t xml:space="preserve">Judge channels on direct channel profit, not gross margin, and keep shared overhead unallocated in the management pack. Fund e-commerce while marginal contribution exceeds marginal media cost.</t>
  </si>
  <si>
    <t xml:space="preserve">5.   Consignment: lowest realised margin, slowest cash</t>
  </si>
  <si>
    <t xml:space="preserve">Consignment is a distribution channel and an interest-free loan to the partner at the same time. It earns real contribution and needs no fixed cost, so it should not be cut - but it is the worst channel to grow while cash is tight.</t>
  </si>
  <si>
    <t xml:space="preserve">Hold consignment at its current scale through the AW26 window. At contract review push for fortnightly remittance or a commission step-down above an agreed monthly volume.</t>
  </si>
  <si>
    <t xml:space="preserve">6.   Events are the best margin but cannot be relied on</t>
  </si>
  <si>
    <t xml:space="preserve">Events flatter the average and hide the variance. They cannot replace recurring store or online revenue, and building a fixed-cost base on them would turn a tight quarter into a bad one.</t>
  </si>
  <si>
    <t xml:space="preserve">Contract four to six pop-ups per quarter a quarter ahead so the forecast carries real dates. Model them conservatively and treat any upside as cash buffer, not budget.</t>
  </si>
  <si>
    <t xml:space="preserve">7.   Improve the store; keep exit as the fallback</t>
  </si>
  <si>
    <t xml:space="preserve">Adopt the improvement case for two quarters with its sales and margin targets written into store objectives. Review at the lease break and, if the threshold is missed, execute the exit then - having first run a controlled migration test to replace the 25% assumption with evidence.</t>
  </si>
  <si>
    <t xml:space="preserve">Every figure quoted above is a live link to the model - change an assumption and these sentences change with it.</t>
  </si>
  <si>
    <t xml:space="preserve">Model controls  ·  every check must pass before the pack is issued</t>
  </si>
  <si>
    <t xml:space="preserve">MODEL STATUS</t>
  </si>
  <si>
    <t xml:space="preserve">Tolerances: S$0.50 on value reconciliations (rounding only), 0.001 on count and flag checks.</t>
  </si>
  <si>
    <t xml:space="preserve">Category</t>
  </si>
  <si>
    <t xml:space="preserve">Control  ·  what it proves</t>
  </si>
  <si>
    <t xml:space="preserve">Expected</t>
  </si>
  <si>
    <t xml:space="preserve">Actual</t>
  </si>
  <si>
    <t xml:space="preserve">Variance</t>
  </si>
  <si>
    <t xml:space="preserve">Tolerance</t>
  </si>
  <si>
    <t xml:space="preserve">Result</t>
  </si>
  <si>
    <t xml:space="preserve">CASH INTEGRITY</t>
  </si>
  <si>
    <t xml:space="preserve">1.   Cash roll-forward: opening cash + receipts - outflows = closing cash, every week</t>
  </si>
  <si>
    <t xml:space="preserve">2.   Cash continuity: each week's opening cash equals the prior week's closing cash</t>
  </si>
  <si>
    <t xml:space="preserve">3.   Week 1 opening cash agrees to the opening balance on Assumptions</t>
  </si>
  <si>
    <t xml:space="preserve">4.   Total cash receipts equals the sum of the individual receipt lines</t>
  </si>
  <si>
    <t xml:space="preserve">5.   Total cash outflows equals the sum of the individual outflow lines</t>
  </si>
  <si>
    <t xml:space="preserve">6.   Minimum cash threshold applied consistently across all 13 weeks</t>
  </si>
  <si>
    <t xml:space="preserve">7.   Forecast net sales equals the sum of the four channel sales lines</t>
  </si>
  <si>
    <t xml:space="preserve">8.   Every scheduled AW26 purchase payment falls inside the 13-week window</t>
  </si>
  <si>
    <t xml:space="preserve">9.   Monthly payment timing: rent, payroll and loan each trigger exactly three times in 13 weeks</t>
  </si>
  <si>
    <t xml:space="preserve">CHANNEL P&amp;L</t>
  </si>
  <si>
    <t xml:space="preserve">10.   Channel P&amp;L: total net revenue equals the sum of the four channels</t>
  </si>
  <si>
    <t xml:space="preserve">11.   Channel P&amp;L: total cost of goods sold equals the sum of the four channels</t>
  </si>
  <si>
    <t xml:space="preserve">12.   Channel P&amp;L gross sales agree to the historical sales table on Assumptions</t>
  </si>
  <si>
    <t xml:space="preserve">13.   Operating profit equals contribution less direct fixed costs less shared overhead</t>
  </si>
  <si>
    <t xml:space="preserve">14.   Allocated shared overhead in the memo view sums back to total shared overhead</t>
  </si>
  <si>
    <t xml:space="preserve">15.   Fully-absorbed channel profits sum back to total operating profit</t>
  </si>
  <si>
    <t xml:space="preserve">BREAK-EVEN</t>
  </si>
  <si>
    <t xml:space="preserve">16.   Store Break-Even contribution agrees to the Channel Profitability monthly average</t>
  </si>
  <si>
    <t xml:space="preserve">17.   Break-even test: sales at the break-even level produce a nil store result</t>
  </si>
  <si>
    <t xml:space="preserve">18.   Store contribution margin is positive (break-even is mathematically meaningful)</t>
  </si>
  <si>
    <t xml:space="preserve">SCENARIO ENGINE</t>
  </si>
  <si>
    <t xml:space="preserve">19.   Scenario engine reproduces the base case: Scenario 1 receipts equal the 13W forecast</t>
  </si>
  <si>
    <t xml:space="preserve">20.   Scenario engine reproduces the base case: Scenario 1 outflows equal the 13W forecast</t>
  </si>
  <si>
    <t xml:space="preserve">21.   Scenario engine reproduces the base case: Scenario 1 Week 13 closing cash equals the 13W forecast</t>
  </si>
  <si>
    <t xml:space="preserve">22.   Scenario levers are complete - every lever is populated for all three scenarios</t>
  </si>
  <si>
    <t xml:space="preserve">DASHBOARD LINKS</t>
  </si>
  <si>
    <t xml:space="preserve">23.   Dashboard KPI links: opening cash card agrees to the 13W Cash Flow output</t>
  </si>
  <si>
    <t xml:space="preserve">24.   Dashboard KPI links: Week 13 closing cash card agrees to the 13W Cash Flow output</t>
  </si>
  <si>
    <t xml:space="preserve">25.   Dashboard KPI links: the store break-even gap card agrees to the Store Break-Even tab</t>
  </si>
  <si>
    <t xml:space="preserve">ERROR SCAN</t>
  </si>
  <si>
    <t xml:space="preserve">26.   No formula errors on the 13W Cash Flow tab</t>
  </si>
  <si>
    <t xml:space="preserve">27.   No formula errors on the Channel Profitability tab</t>
  </si>
  <si>
    <t xml:space="preserve">28.   No formula errors on the Store Break-Even tab</t>
  </si>
  <si>
    <t xml:space="preserve">29.   No formula errors on the Scenarios tab</t>
  </si>
  <si>
    <t xml:space="preserve">30.   No formula errors on the Dashboard or Management Insights</t>
  </si>
  <si>
    <t xml:space="preserve">Tolerances are set at S$0.50 for value reconciliations (rounding only) and 0.001 for count and flag checks. A variance outside tolerance is a modelling error, not a presentational one.</t>
  </si>
</sst>
</file>

<file path=xl/styles.xml><?xml version="1.0" encoding="utf-8"?>
<styleSheet xmlns="http://schemas.openxmlformats.org/spreadsheetml/2006/main">
  <numFmts count="17">
    <numFmt numFmtId="164" formatCode="General"/>
    <numFmt numFmtId="165" formatCode="dd\-mmm\-yy"/>
    <numFmt numFmtId="166" formatCode="0.00"/>
    <numFmt numFmtId="167" formatCode="#,##0;\(#,##0\);\-"/>
    <numFmt numFmtId="168" formatCode="0.0%;\(0.0%\);\-"/>
    <numFmt numFmtId="169" formatCode="0"/>
    <numFmt numFmtId="170" formatCode="dd\ mmm\ yy"/>
    <numFmt numFmtId="171" formatCode="&quot;S$&quot;#,##0;&quot;(S$&quot;#,##0\);\-"/>
    <numFmt numFmtId="172" formatCode="0.0&quot; wks&quot;"/>
    <numFmt numFmtId="173" formatCode="0;;\-"/>
    <numFmt numFmtId="174" formatCode="#,##0.0;\(#,##0.0\);\-"/>
    <numFmt numFmtId="175" formatCode="\+0%;\-0%;&quot;Current&quot;"/>
    <numFmt numFmtId="176" formatCode="0%;\-0%;&quot;Current rent&quot;"/>
    <numFmt numFmtId="177" formatCode="0.00\x"/>
    <numFmt numFmtId="178" formatCode="0.0&quot; mths&quot;"/>
    <numFmt numFmtId="179" formatCode="#,##0;\(#,##0\);\-"/>
    <numFmt numFmtId="180" formatCode="0.000"/>
  </numFmts>
  <fonts count="41">
    <font>
      <sz val="11"/>
      <color theme="1"/>
      <name val="Calibri"/>
      <family val="2"/>
      <charset val="1"/>
    </font>
    <font>
      <sz val="10"/>
      <name val="Arial"/>
      <family val="0"/>
    </font>
    <font>
      <sz val="10"/>
      <name val="Arial"/>
      <family val="0"/>
    </font>
    <font>
      <sz val="10"/>
      <name val="Arial"/>
      <family val="0"/>
    </font>
    <font>
      <b val="true"/>
      <sz val="16"/>
      <color rgb="FF142F4B"/>
      <name val="Calibri"/>
      <family val="0"/>
      <charset val="1"/>
    </font>
    <font>
      <sz val="11"/>
      <color rgb="FF1A1A1A"/>
      <name val="Calibri"/>
      <family val="0"/>
      <charset val="1"/>
    </font>
    <font>
      <sz val="9"/>
      <color rgb="FF5B6B7B"/>
      <name val="Calibri"/>
      <family val="0"/>
      <charset val="1"/>
    </font>
    <font>
      <sz val="10"/>
      <color rgb="FF5B6B7B"/>
      <name val="Calibri"/>
      <family val="0"/>
      <charset val="1"/>
    </font>
    <font>
      <sz val="9"/>
      <color rgb="FF2E5C8A"/>
      <name val="Calibri"/>
      <family val="0"/>
      <charset val="1"/>
    </font>
    <font>
      <sz val="10"/>
      <color rgb="FF1A1A1A"/>
      <name val="Calibri"/>
      <family val="0"/>
      <charset val="1"/>
    </font>
    <font>
      <b val="true"/>
      <sz val="10"/>
      <color rgb="FF8A5D0F"/>
      <name val="Calibri"/>
      <family val="0"/>
      <charset val="1"/>
    </font>
    <font>
      <sz val="10"/>
      <color rgb="FF8A5D0F"/>
      <name val="Calibri"/>
      <family val="0"/>
      <charset val="1"/>
    </font>
    <font>
      <b val="true"/>
      <sz val="11"/>
      <color rgb="FF142F4B"/>
      <name val="Calibri"/>
      <family val="0"/>
      <charset val="1"/>
    </font>
    <font>
      <b val="true"/>
      <sz val="10"/>
      <color rgb="FF142F4B"/>
      <name val="Calibri"/>
      <family val="0"/>
      <charset val="1"/>
    </font>
    <font>
      <b val="true"/>
      <sz val="10"/>
      <color rgb="FF2E5C8A"/>
      <name val="Calibri"/>
      <family val="0"/>
      <charset val="1"/>
    </font>
    <font>
      <b val="true"/>
      <sz val="10"/>
      <color rgb="FF1F4E79"/>
      <name val="Calibri"/>
      <family val="0"/>
      <charset val="1"/>
    </font>
    <font>
      <b val="true"/>
      <sz val="10"/>
      <color rgb="FF1A1A1A"/>
      <name val="Calibri"/>
      <family val="0"/>
      <charset val="1"/>
    </font>
    <font>
      <b val="true"/>
      <sz val="10"/>
      <color rgb="FF2A6B4F"/>
      <name val="Calibri"/>
      <family val="0"/>
      <charset val="1"/>
    </font>
    <font>
      <sz val="9"/>
      <color rgb="FF1A1A1A"/>
      <name val="Calibri"/>
      <family val="0"/>
      <charset val="1"/>
    </font>
    <font>
      <b val="true"/>
      <sz val="9"/>
      <color rgb="FF5B6B7B"/>
      <name val="Calibri"/>
      <family val="0"/>
      <charset val="1"/>
    </font>
    <font>
      <b val="true"/>
      <sz val="9"/>
      <color rgb="FF1F4E79"/>
      <name val="Calibri"/>
      <family val="0"/>
      <charset val="1"/>
    </font>
    <font>
      <sz val="10"/>
      <color rgb="FF1F4E79"/>
      <name val="Calibri"/>
      <family val="0"/>
      <charset val="1"/>
    </font>
    <font>
      <sz val="9"/>
      <color rgb="FF2A6B4F"/>
      <name val="Calibri"/>
      <family val="0"/>
      <charset val="1"/>
    </font>
    <font>
      <sz val="8.5"/>
      <color rgb="FF5B6B7B"/>
      <name val="Calibri"/>
      <family val="0"/>
      <charset val="1"/>
    </font>
    <font>
      <b val="true"/>
      <sz val="10"/>
      <color rgb="FF5B6B7B"/>
      <name val="Calibri"/>
      <family val="0"/>
      <charset val="1"/>
    </font>
    <font>
      <b val="true"/>
      <sz val="9"/>
      <color rgb="FF142F4B"/>
      <name val="Calibri"/>
      <family val="0"/>
      <charset val="1"/>
    </font>
    <font>
      <sz val="10"/>
      <color rgb="FF2A6B4F"/>
      <name val="Calibri"/>
      <family val="0"/>
      <charset val="1"/>
    </font>
    <font>
      <b val="true"/>
      <sz val="8.5"/>
      <color rgb="FF5B6B7B"/>
      <name val="Calibri"/>
      <family val="0"/>
      <charset val="1"/>
    </font>
    <font>
      <b val="true"/>
      <sz val="14"/>
      <color rgb="FF142F4B"/>
      <name val="Calibri"/>
      <family val="0"/>
      <charset val="1"/>
    </font>
    <font>
      <b val="true"/>
      <sz val="9.5"/>
      <color rgb="FF142F4B"/>
      <name val="Calibri"/>
      <family val="0"/>
      <charset val="1"/>
    </font>
    <font>
      <sz val="9.5"/>
      <color rgb="FF5B6B7B"/>
      <name val="Calibri"/>
      <family val="0"/>
      <charset val="1"/>
    </font>
    <font>
      <b val="true"/>
      <sz val="10.5"/>
      <color rgb="FF142F4B"/>
      <name val="Calibri"/>
      <family val="0"/>
      <charset val="1"/>
    </font>
    <font>
      <b val="true"/>
      <sz val="15"/>
      <color rgb="FF142F4B"/>
      <name val="Calibri"/>
      <family val="0"/>
      <charset val="1"/>
    </font>
    <font>
      <b val="true"/>
      <sz val="10.5"/>
      <color rgb="FF142F4B"/>
      <name val="Calibri"/>
      <family val="2"/>
    </font>
    <font>
      <sz val="8.5"/>
      <color rgb="FF5B6B7B"/>
      <name val="Calibri"/>
      <family val="2"/>
    </font>
    <font>
      <b val="true"/>
      <sz val="10"/>
      <color rgb="FF142F4B"/>
      <name val="Calibri"/>
      <family val="2"/>
    </font>
    <font>
      <sz val="7.5"/>
      <color rgb="FF5B6B7B"/>
      <name val="Calibri"/>
      <family val="2"/>
    </font>
    <font>
      <sz val="9.5"/>
      <color rgb="FF1A1A1A"/>
      <name val="Calibri"/>
      <family val="0"/>
      <charset val="1"/>
    </font>
    <font>
      <b val="true"/>
      <sz val="12"/>
      <color rgb="FF142F4B"/>
      <name val="Calibri"/>
      <family val="0"/>
      <charset val="1"/>
    </font>
    <font>
      <b val="true"/>
      <sz val="12"/>
      <color rgb="FF2E6B38"/>
      <name val="Calibri"/>
      <family val="0"/>
      <charset val="1"/>
    </font>
    <font>
      <b val="true"/>
      <sz val="10"/>
      <color rgb="FF2E6B38"/>
      <name val="Calibri"/>
      <family val="0"/>
      <charset val="1"/>
    </font>
  </fonts>
  <fills count="11">
    <fill>
      <patternFill patternType="none"/>
    </fill>
    <fill>
      <patternFill patternType="gray125"/>
    </fill>
    <fill>
      <patternFill patternType="solid">
        <fgColor rgb="FFFBF1DC"/>
        <bgColor rgb="FFFBF2E2"/>
      </patternFill>
    </fill>
    <fill>
      <patternFill patternType="solid">
        <fgColor rgb="FFDCE5EE"/>
        <bgColor rgb="FFE2E8EE"/>
      </patternFill>
    </fill>
    <fill>
      <patternFill patternType="solid">
        <fgColor rgb="FFFFF6DA"/>
        <bgColor rgb="FFFBF1DC"/>
      </patternFill>
    </fill>
    <fill>
      <patternFill patternType="solid">
        <fgColor rgb="FFF4F7FA"/>
        <bgColor rgb="FFEEF2F7"/>
      </patternFill>
    </fill>
    <fill>
      <patternFill patternType="solid">
        <fgColor rgb="FFE8EEF4"/>
        <bgColor rgb="FFE7EFE7"/>
      </patternFill>
    </fill>
    <fill>
      <patternFill patternType="solid">
        <fgColor rgb="FFEEF2F7"/>
        <bgColor rgb="FFE8EEF4"/>
      </patternFill>
    </fill>
    <fill>
      <patternFill patternType="solid">
        <fgColor rgb="FFE7EFE7"/>
        <bgColor rgb="FFE4EFE4"/>
      </patternFill>
    </fill>
    <fill>
      <patternFill patternType="solid">
        <fgColor rgb="FFFBF2E2"/>
        <bgColor rgb="FFFBF1DC"/>
      </patternFill>
    </fill>
    <fill>
      <patternFill patternType="solid">
        <fgColor rgb="FFE4EFE4"/>
        <bgColor rgb="FFE7EFE7"/>
      </patternFill>
    </fill>
  </fills>
  <borders count="22">
    <border diagonalUp="false" diagonalDown="false">
      <left/>
      <right/>
      <top/>
      <bottom/>
      <diagonal/>
    </border>
    <border diagonalUp="false" diagonalDown="false">
      <left/>
      <right/>
      <top/>
      <bottom style="medium">
        <color rgb="FF142F4B"/>
      </bottom>
      <diagonal/>
    </border>
    <border diagonalUp="false" diagonalDown="false">
      <left/>
      <right/>
      <top style="thin">
        <color rgb="FFD9B776"/>
      </top>
      <bottom style="thin">
        <color rgb="FFD9B776"/>
      </bottom>
      <diagonal/>
    </border>
    <border diagonalUp="false" diagonalDown="false">
      <left/>
      <right/>
      <top/>
      <bottom style="thin">
        <color rgb="FF142F4B"/>
      </bottom>
      <diagonal/>
    </border>
    <border diagonalUp="false" diagonalDown="false">
      <left/>
      <right/>
      <top/>
      <bottom style="thin">
        <color rgb="FFAFC0D0"/>
      </bottom>
      <diagonal/>
    </border>
    <border diagonalUp="false" diagonalDown="false">
      <left/>
      <right/>
      <top style="thin">
        <color rgb="FFAFC0D0"/>
      </top>
      <bottom style="double">
        <color rgb="FF142F4B"/>
      </bottom>
      <diagonal/>
    </border>
    <border diagonalUp="false" diagonalDown="false">
      <left/>
      <right/>
      <top style="thin">
        <color rgb="FF142F4B"/>
      </top>
      <bottom/>
      <diagonal/>
    </border>
    <border diagonalUp="false" diagonalDown="false">
      <left/>
      <right/>
      <top style="thin">
        <color rgb="FF142F4B"/>
      </top>
      <bottom style="double">
        <color rgb="FF142F4B"/>
      </bottom>
      <diagonal/>
    </border>
    <border diagonalUp="false" diagonalDown="false">
      <left style="thin">
        <color rgb="FFAFC0D0"/>
      </left>
      <right style="thin">
        <color rgb="FFAFC0D0"/>
      </right>
      <top style="thin">
        <color rgb="FFAFC0D0"/>
      </top>
      <bottom style="thin">
        <color rgb="FFAFC0D0"/>
      </bottom>
      <diagonal/>
    </border>
    <border diagonalUp="false" diagonalDown="false">
      <left style="medium">
        <color rgb="FF142F4B"/>
      </left>
      <right/>
      <top/>
      <bottom/>
      <diagonal/>
    </border>
    <border diagonalUp="false" diagonalDown="false">
      <left style="medium">
        <color rgb="FF142F4B"/>
      </left>
      <right/>
      <top style="thin">
        <color rgb="FF142F4B"/>
      </top>
      <bottom/>
      <diagonal/>
    </border>
    <border diagonalUp="false" diagonalDown="false">
      <left/>
      <right/>
      <top style="thin">
        <color rgb="FFAFC0D0"/>
      </top>
      <bottom/>
      <diagonal/>
    </border>
    <border diagonalUp="false" diagonalDown="false">
      <left style="medium">
        <color rgb="FF142F4B"/>
      </left>
      <right/>
      <top style="thin">
        <color rgb="FFAFC0D0"/>
      </top>
      <bottom/>
      <diagonal/>
    </border>
    <border diagonalUp="false" diagonalDown="false">
      <left style="medium">
        <color rgb="FF142F4B"/>
      </left>
      <right/>
      <top style="thin">
        <color rgb="FFAFC0D0"/>
      </top>
      <bottom style="double">
        <color rgb="FF142F4B"/>
      </bottom>
      <diagonal/>
    </border>
    <border diagonalUp="false" diagonalDown="false">
      <left style="thin">
        <color rgb="FFAFC0D0"/>
      </left>
      <right/>
      <top style="thin">
        <color rgb="FFAFC0D0"/>
      </top>
      <bottom/>
      <diagonal/>
    </border>
    <border diagonalUp="false" diagonalDown="false">
      <left/>
      <right style="thin">
        <color rgb="FFAFC0D0"/>
      </right>
      <top style="thin">
        <color rgb="FFAFC0D0"/>
      </top>
      <bottom/>
      <diagonal/>
    </border>
    <border diagonalUp="false" diagonalDown="false">
      <left style="thin">
        <color rgb="FFAFC0D0"/>
      </left>
      <right style="thin">
        <color rgb="FFAFC0D0"/>
      </right>
      <top/>
      <bottom/>
      <diagonal/>
    </border>
    <border diagonalUp="false" diagonalDown="false">
      <left style="thin">
        <color rgb="FFAFC0D0"/>
      </left>
      <right/>
      <top/>
      <bottom style="thin">
        <color rgb="FFAFC0D0"/>
      </bottom>
      <diagonal/>
    </border>
    <border diagonalUp="false" diagonalDown="false">
      <left/>
      <right style="thin">
        <color rgb="FFAFC0D0"/>
      </right>
      <top/>
      <bottom style="thin">
        <color rgb="FFAFC0D0"/>
      </bottom>
      <diagonal/>
    </border>
    <border diagonalUp="false" diagonalDown="false">
      <left/>
      <right/>
      <top style="thin">
        <color rgb="FFAFC0D0"/>
      </top>
      <bottom style="thin">
        <color rgb="FFAFC0D0"/>
      </bottom>
      <diagonal/>
    </border>
    <border diagonalUp="false" diagonalDown="false">
      <left/>
      <right/>
      <top/>
      <bottom style="double">
        <color rgb="FF142F4B"/>
      </bottom>
      <diagonal/>
    </border>
    <border diagonalUp="false" diagonalDown="false">
      <left/>
      <right/>
      <top style="thin">
        <color rgb="FFE2E8EE"/>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2" borderId="2" xfId="0" applyFont="true" applyBorder="true" applyAlignment="true" applyProtection="false">
      <alignment horizontal="general" vertical="bottom" textRotation="0" wrapText="false" indent="0" shrinkToFit="false"/>
      <protection locked="true" hidden="false"/>
    </xf>
    <xf numFmtId="164" fontId="10" fillId="2" borderId="2" xfId="0" applyFont="true" applyBorder="true" applyAlignment="true" applyProtection="false">
      <alignment horizontal="left" vertical="center" textRotation="0" wrapText="false" indent="0" shrinkToFit="false"/>
      <protection locked="true" hidden="false"/>
    </xf>
    <xf numFmtId="164" fontId="11" fillId="2" borderId="2"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12" fillId="3" borderId="3" xfId="0" applyFont="true" applyBorder="tru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1"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1" shrinkToFit="false"/>
      <protection locked="true" hidden="false"/>
    </xf>
    <xf numFmtId="164" fontId="15" fillId="4" borderId="0" xfId="0" applyFont="true" applyBorder="fals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3" fillId="5"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4" fontId="20" fillId="4"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1" shrinkToFit="false"/>
      <protection locked="true" hidden="false"/>
    </xf>
    <xf numFmtId="165" fontId="21" fillId="4" borderId="0" xfId="0" applyFont="true" applyBorder="false" applyAlignment="true" applyProtection="false">
      <alignment horizontal="right" vertical="center" textRotation="0" wrapText="false" indent="0" shrinkToFit="false"/>
      <protection locked="true" hidden="false"/>
    </xf>
    <xf numFmtId="166" fontId="21" fillId="4" borderId="0" xfId="0" applyFont="true" applyBorder="false" applyAlignment="true" applyProtection="false">
      <alignment horizontal="right" vertical="center" textRotation="0" wrapText="false" indent="0" shrinkToFit="false"/>
      <protection locked="true" hidden="false"/>
    </xf>
    <xf numFmtId="167" fontId="21" fillId="4" borderId="0" xfId="0" applyFont="true" applyBorder="false" applyAlignment="true" applyProtection="false">
      <alignment horizontal="right" vertical="center" textRotation="0" wrapText="false" indent="0" shrinkToFit="false"/>
      <protection locked="true" hidden="false"/>
    </xf>
    <xf numFmtId="168" fontId="21" fillId="4"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7" fontId="16" fillId="0" borderId="0" xfId="0" applyFont="true" applyBorder="false" applyAlignment="true" applyProtection="false">
      <alignment horizontal="right" vertical="center" textRotation="0" wrapText="false" indent="0" shrinkToFit="false"/>
      <protection locked="true" hidden="false"/>
    </xf>
    <xf numFmtId="169" fontId="21" fillId="4" borderId="0" xfId="0" applyFont="true" applyBorder="false" applyAlignment="true" applyProtection="false">
      <alignment horizontal="right" vertical="center" textRotation="0" wrapText="false" indent="0" shrinkToFit="false"/>
      <protection locked="true" hidden="false"/>
    </xf>
    <xf numFmtId="167" fontId="9" fillId="0" borderId="0" xfId="0" applyFont="true" applyBorder="false" applyAlignment="true" applyProtection="false">
      <alignment horizontal="right" vertical="center" textRotation="0" wrapText="false" indent="0" shrinkToFit="false"/>
      <protection locked="true" hidden="false"/>
    </xf>
    <xf numFmtId="164" fontId="21" fillId="4" borderId="0" xfId="0" applyFont="true" applyBorder="false" applyAlignment="true" applyProtection="false">
      <alignment horizontal="right" vertical="center" textRotation="0" wrapText="false" indent="0" shrinkToFit="false"/>
      <protection locked="true" hidden="false"/>
    </xf>
    <xf numFmtId="164" fontId="13" fillId="0" borderId="4" xfId="0" applyFont="true" applyBorder="true" applyAlignment="true" applyProtection="false">
      <alignment horizontal="left" vertical="center" textRotation="0" wrapText="false" indent="0" shrinkToFit="false"/>
      <protection locked="true" hidden="false"/>
    </xf>
    <xf numFmtId="164" fontId="5" fillId="0" borderId="4" xfId="0" applyFont="true" applyBorder="true" applyAlignment="true" applyProtection="false">
      <alignment horizontal="general" vertical="bottom" textRotation="0" wrapText="false" indent="0" shrinkToFit="false"/>
      <protection locked="true" hidden="false"/>
    </xf>
    <xf numFmtId="164" fontId="6" fillId="0" borderId="4" xfId="0" applyFont="true" applyBorder="true" applyAlignment="true" applyProtection="false">
      <alignment horizontal="left" vertical="center" textRotation="0" wrapText="false" indent="0" shrinkToFit="false"/>
      <protection locked="true" hidden="false"/>
    </xf>
    <xf numFmtId="164" fontId="6" fillId="0" borderId="4" xfId="0" applyFont="true" applyBorder="true" applyAlignment="true" applyProtection="false">
      <alignment horizontal="center" vertical="center" textRotation="0" wrapText="false" indent="0" shrinkToFit="false"/>
      <protection locked="true" hidden="false"/>
    </xf>
    <xf numFmtId="164" fontId="13" fillId="0" borderId="4" xfId="0" applyFont="true" applyBorder="true" applyAlignment="true" applyProtection="false">
      <alignment horizontal="center" vertical="center" textRotation="0" wrapText="false" indent="0" shrinkToFit="false"/>
      <protection locked="true" hidden="false"/>
    </xf>
    <xf numFmtId="164" fontId="13" fillId="0" borderId="4" xfId="0" applyFont="true" applyBorder="true" applyAlignment="true" applyProtection="false">
      <alignment horizontal="center" vertical="center" textRotation="0" wrapText="true" indent="0" shrinkToFit="false"/>
      <protection locked="true" hidden="false"/>
    </xf>
    <xf numFmtId="167" fontId="6" fillId="0" borderId="5" xfId="0" applyFont="true" applyBorder="true" applyAlignment="true" applyProtection="false">
      <alignment horizontal="left" vertical="center" textRotation="0" wrapText="false" indent="0" shrinkToFit="false"/>
      <protection locked="true" hidden="false"/>
    </xf>
    <xf numFmtId="167" fontId="6" fillId="0" borderId="5" xfId="0" applyFont="true" applyBorder="true" applyAlignment="true" applyProtection="false">
      <alignment horizontal="right" vertical="center" textRotation="0" wrapText="false" indent="0" shrinkToFit="false"/>
      <protection locked="true" hidden="false"/>
    </xf>
    <xf numFmtId="167" fontId="16" fillId="0" borderId="5"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1" shrinkToFit="false"/>
      <protection locked="true" hidden="false"/>
    </xf>
    <xf numFmtId="164" fontId="13" fillId="0" borderId="0" xfId="0" applyFont="true" applyBorder="false" applyAlignment="true" applyProtection="false">
      <alignment horizontal="right" vertical="center" textRotation="0" wrapText="false" indent="0" shrinkToFit="false"/>
      <protection locked="true" hidden="false"/>
    </xf>
    <xf numFmtId="166" fontId="6" fillId="0" borderId="0" xfId="0" applyFont="true" applyBorder="false" applyAlignment="true" applyProtection="false">
      <alignment horizontal="right" vertical="center" textRotation="0" wrapText="false" indent="0" shrinkToFit="false"/>
      <protection locked="true" hidden="false"/>
    </xf>
    <xf numFmtId="166" fontId="21" fillId="4" borderId="0" xfId="0" applyFont="true" applyBorder="false" applyAlignment="true" applyProtection="false">
      <alignment horizontal="center" vertical="center" textRotation="0" wrapText="false" indent="0" shrinkToFit="false"/>
      <protection locked="true" hidden="false"/>
    </xf>
    <xf numFmtId="169" fontId="21" fillId="4" borderId="0" xfId="0" applyFont="true" applyBorder="fals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left"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70" fontId="22" fillId="0" borderId="0" xfId="0" applyFont="true" applyBorder="false" applyAlignment="true" applyProtection="false">
      <alignment horizontal="center" vertical="center" textRotation="0" wrapText="false" indent="0" shrinkToFit="false"/>
      <protection locked="true" hidden="false"/>
    </xf>
    <xf numFmtId="170" fontId="6" fillId="0" borderId="0" xfId="0" applyFont="true" applyBorder="false" applyAlignment="true" applyProtection="false">
      <alignment horizontal="center" vertical="center" textRotation="0" wrapText="false" indent="0" shrinkToFit="false"/>
      <protection locked="true" hidden="false"/>
    </xf>
    <xf numFmtId="164" fontId="6" fillId="0" borderId="4" xfId="0" applyFont="true" applyBorder="true" applyAlignment="true" applyProtection="false">
      <alignment horizontal="left" vertical="center" textRotation="0" wrapText="false" indent="1" shrinkToFit="false"/>
      <protection locked="true" hidden="false"/>
    </xf>
    <xf numFmtId="170" fontId="6" fillId="0" borderId="4" xfId="0" applyFont="true" applyBorder="true" applyAlignment="true" applyProtection="false">
      <alignment horizontal="center" vertical="center" textRotation="0" wrapText="false" indent="0" shrinkToFit="false"/>
      <protection locked="true" hidden="false"/>
    </xf>
    <xf numFmtId="164" fontId="13" fillId="6" borderId="0" xfId="0" applyFont="true" applyBorder="false" applyAlignment="true" applyProtection="false">
      <alignment horizontal="left" vertical="center" textRotation="0" wrapText="false" indent="0" shrinkToFit="false"/>
      <protection locked="true" hidden="false"/>
    </xf>
    <xf numFmtId="164" fontId="23" fillId="6" borderId="0" xfId="0" applyFont="true" applyBorder="false" applyAlignment="true" applyProtection="false">
      <alignment horizontal="left" vertical="center" textRotation="0" wrapText="false" indent="0" shrinkToFit="false"/>
      <protection locked="true" hidden="false"/>
    </xf>
    <xf numFmtId="167" fontId="13" fillId="6" borderId="6" xfId="0" applyFont="true" applyBorder="true" applyAlignment="true" applyProtection="false">
      <alignment horizontal="right"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7" fontId="7" fillId="0" borderId="0" xfId="0" applyFont="true" applyBorder="false" applyAlignment="true" applyProtection="false">
      <alignment horizontal="right" vertical="center"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7" fontId="13" fillId="0" borderId="0" xfId="0" applyFont="true" applyBorder="false" applyAlignment="true" applyProtection="false">
      <alignment horizontal="right" vertical="center" textRotation="0" wrapText="false" indent="0" shrinkToFit="false"/>
      <protection locked="true" hidden="false"/>
    </xf>
    <xf numFmtId="164" fontId="12" fillId="6" borderId="7" xfId="0" applyFont="true" applyBorder="true" applyAlignment="true" applyProtection="false">
      <alignment horizontal="left" vertical="center" textRotation="0" wrapText="false" indent="0" shrinkToFit="false"/>
      <protection locked="true" hidden="false"/>
    </xf>
    <xf numFmtId="164" fontId="6" fillId="6" borderId="7" xfId="0" applyFont="true" applyBorder="true" applyAlignment="true" applyProtection="false">
      <alignment horizontal="general" vertical="center" textRotation="0" wrapText="false" indent="0" shrinkToFit="false"/>
      <protection locked="true" hidden="false"/>
    </xf>
    <xf numFmtId="167" fontId="12" fillId="6" borderId="7" xfId="0" applyFont="true" applyBorder="true" applyAlignment="true" applyProtection="false">
      <alignment horizontal="right" vertical="center" textRotation="0" wrapText="false" indent="0" shrinkToFit="false"/>
      <protection locked="true" hidden="false"/>
    </xf>
    <xf numFmtId="164" fontId="5" fillId="0" borderId="7" xfId="0" applyFont="true" applyBorder="tru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right" vertical="center" textRotation="0" wrapText="false" indent="0" shrinkToFit="false"/>
      <protection locked="true" hidden="false"/>
    </xf>
    <xf numFmtId="171" fontId="13" fillId="5" borderId="8" xfId="0" applyFont="true" applyBorder="true" applyAlignment="true" applyProtection="false">
      <alignment horizontal="right" vertical="center" textRotation="0" wrapText="false" indent="0" shrinkToFit="false"/>
      <protection locked="true" hidden="false"/>
    </xf>
    <xf numFmtId="171" fontId="12" fillId="5" borderId="8" xfId="0" applyFont="true" applyBorder="true" applyAlignment="true" applyProtection="false">
      <alignment horizontal="right" vertical="center" textRotation="0" wrapText="false" indent="0" shrinkToFit="false"/>
      <protection locked="true" hidden="false"/>
    </xf>
    <xf numFmtId="169" fontId="13" fillId="5" borderId="8" xfId="0" applyFont="true" applyBorder="true" applyAlignment="true" applyProtection="false">
      <alignment horizontal="right" vertical="center" textRotation="0" wrapText="false" indent="0" shrinkToFit="false"/>
      <protection locked="true" hidden="false"/>
    </xf>
    <xf numFmtId="170" fontId="13" fillId="5" borderId="8" xfId="0" applyFont="true" applyBorder="true" applyAlignment="true" applyProtection="false">
      <alignment horizontal="right" vertical="center" textRotation="0" wrapText="false" indent="0" shrinkToFit="false"/>
      <protection locked="true" hidden="false"/>
    </xf>
    <xf numFmtId="172" fontId="13" fillId="5" borderId="8" xfId="0" applyFont="true" applyBorder="true" applyAlignment="true" applyProtection="false">
      <alignment horizontal="right" vertical="center" textRotation="0" wrapText="false" indent="0" shrinkToFit="false"/>
      <protection locked="true" hidden="false"/>
    </xf>
    <xf numFmtId="164" fontId="24" fillId="7" borderId="4"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1" shrinkToFit="false"/>
      <protection locked="true" hidden="false"/>
    </xf>
    <xf numFmtId="173" fontId="18" fillId="0" borderId="0" xfId="0" applyFont="true" applyBorder="false" applyAlignment="true" applyProtection="false">
      <alignment horizontal="center" vertical="center" textRotation="0" wrapText="false" indent="0" shrinkToFit="false"/>
      <protection locked="true" hidden="false"/>
    </xf>
    <xf numFmtId="167" fontId="22" fillId="0" borderId="0" xfId="0" applyFont="true" applyBorder="fals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7" fontId="25" fillId="0" borderId="6" xfId="0" applyFont="true" applyBorder="true" applyAlignment="true" applyProtection="false">
      <alignment horizontal="right" vertical="center" textRotation="0" wrapText="false" indent="0" shrinkToFit="false"/>
      <protection locked="true" hidden="false"/>
    </xf>
    <xf numFmtId="167" fontId="18" fillId="0" borderId="0" xfId="0" applyFont="true" applyBorder="false" applyAlignment="true" applyProtection="false">
      <alignment horizontal="right" vertical="center" textRotation="0" wrapText="false" indent="0" shrinkToFit="false"/>
      <protection locked="true" hidden="false"/>
    </xf>
    <xf numFmtId="169" fontId="20" fillId="4" borderId="0" xfId="0" applyFont="true" applyBorder="fals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left" vertical="center" textRotation="0" wrapText="true" indent="0" shrinkToFit="false"/>
      <protection locked="true" hidden="false"/>
    </xf>
    <xf numFmtId="167" fontId="26" fillId="0" borderId="0" xfId="0" applyFont="true" applyBorder="false" applyAlignment="true" applyProtection="false">
      <alignment horizontal="right" vertical="center" textRotation="0" wrapText="false" indent="0" shrinkToFit="false"/>
      <protection locked="true" hidden="false"/>
    </xf>
    <xf numFmtId="167" fontId="16" fillId="0" borderId="9" xfId="0" applyFont="true" applyBorder="true" applyAlignment="true" applyProtection="false">
      <alignment horizontal="right" vertical="center" textRotation="0" wrapText="false" indent="0" shrinkToFit="false"/>
      <protection locked="true" hidden="false"/>
    </xf>
    <xf numFmtId="168" fontId="6" fillId="0" borderId="0" xfId="0" applyFont="true" applyBorder="false" applyAlignment="true" applyProtection="false">
      <alignment horizontal="right" vertical="center" textRotation="0" wrapText="false" indent="0" shrinkToFit="false"/>
      <protection locked="true" hidden="false"/>
    </xf>
    <xf numFmtId="164" fontId="13" fillId="0" borderId="6" xfId="0" applyFont="true" applyBorder="true" applyAlignment="true" applyProtection="false">
      <alignment horizontal="left" vertical="center" textRotation="0" wrapText="false" indent="0" shrinkToFit="false"/>
      <protection locked="true" hidden="false"/>
    </xf>
    <xf numFmtId="164" fontId="5" fillId="0" borderId="6" xfId="0" applyFont="true" applyBorder="true" applyAlignment="true" applyProtection="false">
      <alignment horizontal="general" vertical="bottom" textRotation="0" wrapText="false" indent="0" shrinkToFit="false"/>
      <protection locked="true" hidden="false"/>
    </xf>
    <xf numFmtId="167" fontId="13" fillId="6" borderId="10" xfId="0" applyFont="true" applyBorder="true" applyAlignment="true" applyProtection="false">
      <alignment horizontal="right" vertical="center" textRotation="0" wrapText="false" indent="0" shrinkToFit="false"/>
      <protection locked="true" hidden="false"/>
    </xf>
    <xf numFmtId="168" fontId="6" fillId="6" borderId="6" xfId="0" applyFont="true" applyBorder="true" applyAlignment="true" applyProtection="false">
      <alignment horizontal="right" vertical="center" textRotation="0" wrapText="false" indent="0" shrinkToFit="false"/>
      <protection locked="true" hidden="false"/>
    </xf>
    <xf numFmtId="168" fontId="9" fillId="0" borderId="0" xfId="0" applyFont="true" applyBorder="false" applyAlignment="true" applyProtection="false">
      <alignment horizontal="right" vertical="center" textRotation="0" wrapText="false" indent="0" shrinkToFit="false"/>
      <protection locked="true" hidden="false"/>
    </xf>
    <xf numFmtId="168" fontId="16" fillId="0" borderId="9" xfId="0" applyFont="true" applyBorder="true" applyAlignment="true" applyProtection="false">
      <alignment horizontal="right" vertical="center" textRotation="0" wrapText="false" indent="0" shrinkToFit="false"/>
      <protection locked="true" hidden="false"/>
    </xf>
    <xf numFmtId="168" fontId="6" fillId="0" borderId="0" xfId="0" applyFont="true" applyBorder="fals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1" shrinkToFit="false"/>
      <protection locked="true" hidden="false"/>
    </xf>
    <xf numFmtId="167" fontId="9" fillId="0" borderId="11" xfId="0" applyFont="true" applyBorder="true" applyAlignment="true" applyProtection="false">
      <alignment horizontal="right" vertical="center" textRotation="0" wrapText="false" indent="0" shrinkToFit="false"/>
      <protection locked="true" hidden="false"/>
    </xf>
    <xf numFmtId="167" fontId="16" fillId="0" borderId="12" xfId="0" applyFont="true" applyBorder="true" applyAlignment="true" applyProtection="false">
      <alignment horizontal="right" vertical="center" textRotation="0" wrapText="false" indent="0" shrinkToFit="false"/>
      <protection locked="true" hidden="false"/>
    </xf>
    <xf numFmtId="164" fontId="5" fillId="0" borderId="11" xfId="0" applyFont="true" applyBorder="true" applyAlignment="true" applyProtection="false">
      <alignment horizontal="general" vertical="bottom"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5" fillId="6" borderId="6" xfId="0" applyFont="true" applyBorder="true" applyAlignment="true" applyProtection="false">
      <alignment horizontal="general" vertical="bottom" textRotation="0" wrapText="false" indent="0" shrinkToFit="false"/>
      <protection locked="true" hidden="false"/>
    </xf>
    <xf numFmtId="167" fontId="9" fillId="0" borderId="5" xfId="0" applyFont="true" applyBorder="true" applyAlignment="true" applyProtection="false">
      <alignment horizontal="right" vertical="center" textRotation="0" wrapText="false" indent="0" shrinkToFit="false"/>
      <protection locked="true" hidden="false"/>
    </xf>
    <xf numFmtId="167" fontId="16" fillId="0" borderId="13" xfId="0" applyFont="true" applyBorder="true" applyAlignment="true" applyProtection="false">
      <alignment horizontal="right" vertical="center" textRotation="0" wrapText="false" indent="0" shrinkToFit="false"/>
      <protection locked="true" hidden="false"/>
    </xf>
    <xf numFmtId="174" fontId="6" fillId="0" borderId="9"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1" shrinkToFit="false"/>
      <protection locked="true" hidden="false"/>
    </xf>
    <xf numFmtId="164" fontId="27" fillId="5" borderId="14" xfId="0" applyFont="true" applyBorder="true" applyAlignment="true" applyProtection="false">
      <alignment horizontal="left" vertical="center" textRotation="0" wrapText="false" indent="1" shrinkToFit="false"/>
      <protection locked="true" hidden="false"/>
    </xf>
    <xf numFmtId="164" fontId="13" fillId="5" borderId="15" xfId="0" applyFont="true" applyBorder="true" applyAlignment="true" applyProtection="false">
      <alignment horizontal="general" vertical="bottom" textRotation="0" wrapText="false" indent="0" shrinkToFit="false"/>
      <protection locked="true" hidden="false"/>
    </xf>
    <xf numFmtId="171" fontId="28" fillId="5" borderId="16" xfId="0" applyFont="true" applyBorder="true" applyAlignment="true" applyProtection="false">
      <alignment horizontal="center" vertical="center" textRotation="0" wrapText="false" indent="0" shrinkToFit="false"/>
      <protection locked="true" hidden="false"/>
    </xf>
    <xf numFmtId="164" fontId="23" fillId="5" borderId="17" xfId="0" applyFont="true" applyBorder="true" applyAlignment="true" applyProtection="false">
      <alignment horizontal="left" vertical="center" textRotation="0" wrapText="false" indent="1" shrinkToFit="false"/>
      <protection locked="true" hidden="false"/>
    </xf>
    <xf numFmtId="164" fontId="5" fillId="5" borderId="18" xfId="0" applyFont="true" applyBorder="true" applyAlignment="true" applyProtection="false">
      <alignment horizontal="general" vertical="bottom" textRotation="0" wrapText="false" indent="0" shrinkToFit="false"/>
      <protection locked="true" hidden="false"/>
    </xf>
    <xf numFmtId="167" fontId="13" fillId="0" borderId="6" xfId="0" applyFont="true" applyBorder="true" applyAlignment="true" applyProtection="false">
      <alignment horizontal="right" vertical="center" textRotation="0" wrapText="false" indent="0" shrinkToFit="false"/>
      <protection locked="true" hidden="false"/>
    </xf>
    <xf numFmtId="164" fontId="5" fillId="5" borderId="15" xfId="0" applyFont="true" applyBorder="true" applyAlignment="true" applyProtection="false">
      <alignment horizontal="general" vertical="bottom" textRotation="0" wrapText="false" indent="0" shrinkToFit="false"/>
      <protection locked="true" hidden="false"/>
    </xf>
    <xf numFmtId="168" fontId="28" fillId="5" borderId="16" xfId="0" applyFont="true" applyBorder="true" applyAlignment="true" applyProtection="false">
      <alignment horizontal="center" vertical="center" textRotation="0" wrapText="false" indent="0" shrinkToFit="false"/>
      <protection locked="true" hidden="false"/>
    </xf>
    <xf numFmtId="164" fontId="24" fillId="5" borderId="18"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7" fontId="12" fillId="5" borderId="7" xfId="0" applyFont="true" applyBorder="true" applyAlignment="true" applyProtection="false">
      <alignment horizontal="right" vertical="center"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7" fontId="13" fillId="5" borderId="7" xfId="0" applyFont="true" applyBorder="true" applyAlignment="true" applyProtection="false">
      <alignment horizontal="right" vertical="center" textRotation="0" wrapText="false" indent="0" shrinkToFit="false"/>
      <protection locked="true" hidden="false"/>
    </xf>
    <xf numFmtId="167" fontId="13" fillId="5" borderId="6" xfId="0" applyFont="true" applyBorder="true" applyAlignment="true" applyProtection="false">
      <alignment horizontal="right" vertical="center" textRotation="0" wrapText="false" indent="0" shrinkToFit="false"/>
      <protection locked="true" hidden="false"/>
    </xf>
    <xf numFmtId="168" fontId="13" fillId="0" borderId="6" xfId="0" applyFont="true" applyBorder="true" applyAlignment="true" applyProtection="false">
      <alignment horizontal="right" vertical="center" textRotation="0" wrapText="false" indent="0" shrinkToFit="false"/>
      <protection locked="true" hidden="false"/>
    </xf>
    <xf numFmtId="168" fontId="21" fillId="4" borderId="0" xfId="0" applyFont="true" applyBorder="false" applyAlignment="true" applyProtection="false">
      <alignment horizontal="center" vertical="center" textRotation="0" wrapText="false" indent="0" shrinkToFit="false"/>
      <protection locked="true" hidden="false"/>
    </xf>
    <xf numFmtId="164" fontId="29" fillId="3" borderId="3" xfId="0" applyFont="true" applyBorder="true" applyAlignment="true" applyProtection="false">
      <alignment horizontal="left" vertical="center" textRotation="0" wrapText="true" indent="0" shrinkToFit="false"/>
      <protection locked="true" hidden="false"/>
    </xf>
    <xf numFmtId="164" fontId="29" fillId="3" borderId="3" xfId="0" applyFont="true" applyBorder="true" applyAlignment="true" applyProtection="false">
      <alignment horizontal="center" vertical="center" textRotation="0" wrapText="true" indent="0" shrinkToFit="false"/>
      <protection locked="true" hidden="false"/>
    </xf>
    <xf numFmtId="175" fontId="29" fillId="3" borderId="3" xfId="0" applyFont="true" applyBorder="true" applyAlignment="true" applyProtection="false">
      <alignment horizontal="center" vertical="center" textRotation="0" wrapText="true" indent="0" shrinkToFit="false"/>
      <protection locked="true" hidden="false"/>
    </xf>
    <xf numFmtId="168" fontId="30" fillId="0" borderId="0" xfId="0" applyFont="true" applyBorder="false" applyAlignment="true" applyProtection="false">
      <alignment horizontal="center" vertical="center" textRotation="0" wrapText="false" indent="0" shrinkToFit="false"/>
      <protection locked="true" hidden="false"/>
    </xf>
    <xf numFmtId="176" fontId="29" fillId="3" borderId="3" xfId="0" applyFont="true" applyBorder="true" applyAlignment="true" applyProtection="false">
      <alignment horizontal="center" vertical="center" textRotation="0" wrapText="true" indent="0" shrinkToFit="false"/>
      <protection locked="true" hidden="false"/>
    </xf>
    <xf numFmtId="164" fontId="31" fillId="5" borderId="19" xfId="0" applyFont="true" applyBorder="true" applyAlignment="true" applyProtection="false">
      <alignment horizontal="left" vertical="center" textRotation="0" wrapText="false" indent="1"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77" fontId="21" fillId="4" borderId="0" xfId="0" applyFont="true" applyBorder="false" applyAlignment="true" applyProtection="false">
      <alignment horizontal="center" vertical="center" textRotation="0" wrapText="false" indent="0" shrinkToFit="false"/>
      <protection locked="true" hidden="false"/>
    </xf>
    <xf numFmtId="167" fontId="21" fillId="4" borderId="0" xfId="0" applyFont="true" applyBorder="false" applyAlignment="true" applyProtection="false">
      <alignment horizontal="center" vertical="center" textRotation="0" wrapText="false" indent="0" shrinkToFit="false"/>
      <protection locked="true" hidden="false"/>
    </xf>
    <xf numFmtId="167" fontId="7" fillId="6" borderId="6" xfId="0" applyFont="true" applyBorder="true" applyAlignment="true" applyProtection="false">
      <alignment horizontal="right" vertical="center" textRotation="0" wrapText="false" indent="0" shrinkToFit="false"/>
      <protection locked="true" hidden="false"/>
    </xf>
    <xf numFmtId="168" fontId="7" fillId="0" borderId="0" xfId="0" applyFont="true" applyBorder="fals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2" shrinkToFit="false"/>
      <protection locked="true" hidden="false"/>
    </xf>
    <xf numFmtId="169" fontId="9" fillId="0" borderId="0" xfId="0" applyFont="true" applyBorder="false" applyAlignment="true" applyProtection="false">
      <alignment horizontal="right" vertical="center" textRotation="0" wrapText="false" indent="0" shrinkToFit="false"/>
      <protection locked="true" hidden="false"/>
    </xf>
    <xf numFmtId="172" fontId="9" fillId="0" borderId="0" xfId="0" applyFont="true" applyBorder="false" applyAlignment="true" applyProtection="false">
      <alignment horizontal="right" vertical="center" textRotation="0" wrapText="false" indent="0" shrinkToFit="false"/>
      <protection locked="true" hidden="false"/>
    </xf>
    <xf numFmtId="168" fontId="31" fillId="5" borderId="8" xfId="0" applyFont="true" applyBorder="true" applyAlignment="true" applyProtection="false">
      <alignment horizontal="right" vertical="center" textRotation="0" wrapText="false" indent="0" shrinkToFit="false"/>
      <protection locked="true" hidden="false"/>
    </xf>
    <xf numFmtId="167" fontId="31" fillId="0" borderId="0" xfId="0" applyFont="true" applyBorder="false" applyAlignment="true" applyProtection="false">
      <alignment horizontal="right" vertical="center" textRotation="0" wrapText="false" indent="0" shrinkToFit="false"/>
      <protection locked="true" hidden="false"/>
    </xf>
    <xf numFmtId="167" fontId="31" fillId="5" borderId="8" xfId="0" applyFont="true" applyBorder="true" applyAlignment="true" applyProtection="false">
      <alignment horizontal="right" vertical="center" textRotation="0" wrapText="false" indent="0" shrinkToFit="false"/>
      <protection locked="true" hidden="false"/>
    </xf>
    <xf numFmtId="178" fontId="31" fillId="5" borderId="8" xfId="0" applyFont="true" applyBorder="true" applyAlignment="true" applyProtection="false">
      <alignment horizontal="right" vertical="center" textRotation="0" wrapText="false" indent="0" shrinkToFit="false"/>
      <protection locked="true" hidden="false"/>
    </xf>
    <xf numFmtId="164" fontId="19" fillId="7" borderId="4" xfId="0" applyFont="true" applyBorder="true" applyAlignment="true" applyProtection="false">
      <alignment horizontal="left" vertical="center" textRotation="0" wrapText="false" indent="0" shrinkToFit="false"/>
      <protection locked="true" hidden="false"/>
    </xf>
    <xf numFmtId="164" fontId="19" fillId="7" borderId="4" xfId="0" applyFont="true" applyBorder="true" applyAlignment="true" applyProtection="false">
      <alignment horizontal="center" vertical="center" textRotation="0" wrapText="false" indent="0" shrinkToFit="false"/>
      <protection locked="true" hidden="false"/>
    </xf>
    <xf numFmtId="164" fontId="19" fillId="7" borderId="4" xfId="0" applyFont="true" applyBorder="true" applyAlignment="true" applyProtection="false">
      <alignment horizontal="center" vertical="center" textRotation="0" wrapText="true" indent="0" shrinkToFit="false"/>
      <protection locked="true" hidden="false"/>
    </xf>
    <xf numFmtId="173" fontId="22" fillId="0" borderId="0" xfId="0" applyFont="true" applyBorder="false" applyAlignment="true" applyProtection="false">
      <alignment horizontal="center" vertical="center" textRotation="0" wrapText="false" indent="0" shrinkToFit="false"/>
      <protection locked="true" hidden="false"/>
    </xf>
    <xf numFmtId="167" fontId="25" fillId="6" borderId="5" xfId="0" applyFont="true" applyBorder="true" applyAlignment="true" applyProtection="false">
      <alignment horizontal="right" vertical="center" textRotation="0" wrapText="false" indent="0" shrinkToFit="false"/>
      <protection locked="true" hidden="false"/>
    </xf>
    <xf numFmtId="167" fontId="25" fillId="6" borderId="0" xfId="0" applyFont="true" applyBorder="false" applyAlignment="true" applyProtection="false">
      <alignment horizontal="right" vertical="center" textRotation="0" wrapText="false" indent="0" shrinkToFit="false"/>
      <protection locked="true" hidden="false"/>
    </xf>
    <xf numFmtId="167" fontId="25" fillId="6" borderId="20" xfId="0" applyFont="true" applyBorder="true" applyAlignment="true" applyProtection="false">
      <alignment horizontal="right" vertical="center" textRotation="0" wrapText="false" indent="0" shrinkToFit="false"/>
      <protection locked="true" hidden="false"/>
    </xf>
    <xf numFmtId="164" fontId="9" fillId="5" borderId="11" xfId="0" applyFont="true" applyBorder="true" applyAlignment="true" applyProtection="false">
      <alignment horizontal="general" vertical="bottom" textRotation="0" wrapText="false" indent="0" shrinkToFit="false"/>
      <protection locked="true" hidden="false"/>
    </xf>
    <xf numFmtId="164" fontId="9" fillId="5" borderId="15" xfId="0" applyFont="true" applyBorder="true" applyAlignment="true" applyProtection="false">
      <alignment horizontal="general" vertical="bottom" textRotation="0" wrapText="false" indent="0" shrinkToFit="false"/>
      <protection locked="true" hidden="false"/>
    </xf>
    <xf numFmtId="171" fontId="32" fillId="5" borderId="16" xfId="0" applyFont="true" applyBorder="true" applyAlignment="true" applyProtection="false">
      <alignment horizontal="center" vertical="center" textRotation="0" wrapText="false" indent="0" shrinkToFit="false"/>
      <protection locked="true" hidden="false"/>
    </xf>
    <xf numFmtId="172" fontId="32" fillId="5" borderId="16" xfId="0" applyFont="true" applyBorder="true" applyAlignment="true" applyProtection="false">
      <alignment horizontal="center" vertical="center" textRotation="0" wrapText="false" indent="0" shrinkToFit="false"/>
      <protection locked="true" hidden="false"/>
    </xf>
    <xf numFmtId="164" fontId="9" fillId="5" borderId="4" xfId="0" applyFont="true" applyBorder="true" applyAlignment="true" applyProtection="false">
      <alignment horizontal="general" vertical="bottom" textRotation="0" wrapText="false" indent="0" shrinkToFit="false"/>
      <protection locked="true" hidden="false"/>
    </xf>
    <xf numFmtId="164" fontId="9" fillId="5" borderId="18" xfId="0" applyFont="true" applyBorder="true" applyAlignment="true" applyProtection="false">
      <alignment horizontal="general" vertical="bottom" textRotation="0" wrapText="false" indent="0" shrinkToFit="false"/>
      <protection locked="true" hidden="false"/>
    </xf>
    <xf numFmtId="168" fontId="32" fillId="5" borderId="16"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center" textRotation="0" wrapText="false" indent="1" shrinkToFit="false"/>
      <protection locked="true" hidden="false"/>
    </xf>
    <xf numFmtId="164" fontId="25" fillId="0" borderId="4" xfId="0" applyFont="true" applyBorder="tru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7" fontId="22"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3" fillId="3" borderId="1" xfId="0" applyFont="true" applyBorder="true" applyAlignment="true" applyProtection="false">
      <alignment horizontal="left" vertical="center" textRotation="0" wrapText="false" indent="1" shrinkToFit="false"/>
      <protection locked="true" hidden="false"/>
    </xf>
    <xf numFmtId="164" fontId="31" fillId="7" borderId="6" xfId="0" applyFont="true" applyBorder="true" applyAlignment="true" applyProtection="false">
      <alignment horizontal="left" vertical="center" textRotation="0" wrapText="false" indent="1" shrinkToFit="false"/>
      <protection locked="true" hidden="false"/>
    </xf>
    <xf numFmtId="164" fontId="29" fillId="0" borderId="0" xfId="0" applyFont="true" applyBorder="false" applyAlignment="true" applyProtection="false">
      <alignment horizontal="left" vertical="top" textRotation="0" wrapText="true" indent="1" shrinkToFit="false"/>
      <protection locked="true" hidden="false"/>
    </xf>
    <xf numFmtId="164" fontId="37" fillId="0" borderId="0" xfId="0" applyFont="true" applyBorder="false" applyAlignment="true" applyProtection="false">
      <alignment horizontal="left" vertical="top" textRotation="0" wrapText="true" indent="1" shrinkToFit="false"/>
      <protection locked="true" hidden="false"/>
    </xf>
    <xf numFmtId="164" fontId="6" fillId="0" borderId="0" xfId="0" applyFont="true" applyBorder="true" applyAlignment="true" applyProtection="false">
      <alignment horizontal="left" vertical="center" textRotation="0" wrapText="false" indent="1" shrinkToFit="false"/>
      <protection locked="true" hidden="false"/>
    </xf>
    <xf numFmtId="164" fontId="38" fillId="0" borderId="0" xfId="0" applyFont="true" applyBorder="false" applyAlignment="true" applyProtection="false">
      <alignment horizontal="left" vertical="center" textRotation="0" wrapText="false" indent="0" shrinkToFit="false"/>
      <protection locked="true" hidden="false"/>
    </xf>
    <xf numFmtId="164" fontId="39" fillId="10" borderId="8"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1" shrinkToFit="false"/>
      <protection locked="true" hidden="false"/>
    </xf>
    <xf numFmtId="169" fontId="19" fillId="0" borderId="6" xfId="0" applyFont="true" applyBorder="true" applyAlignment="true" applyProtection="false">
      <alignment horizontal="left" vertical="top" textRotation="0" wrapText="false" indent="1" shrinkToFit="false"/>
      <protection locked="true" hidden="false"/>
    </xf>
    <xf numFmtId="164" fontId="37" fillId="0" borderId="6" xfId="0" applyFont="true" applyBorder="true" applyAlignment="true" applyProtection="false">
      <alignment horizontal="left" vertical="center" textRotation="0" wrapText="true" indent="1" shrinkToFit="false"/>
      <protection locked="true" hidden="false"/>
    </xf>
    <xf numFmtId="174" fontId="30" fillId="0" borderId="6" xfId="0" applyFont="true" applyBorder="true" applyAlignment="true" applyProtection="false">
      <alignment horizontal="right" vertical="center" textRotation="0" wrapText="false" indent="0" shrinkToFit="false"/>
      <protection locked="true" hidden="false"/>
    </xf>
    <xf numFmtId="174" fontId="37" fillId="0" borderId="6" xfId="0" applyFont="true" applyBorder="true" applyAlignment="true" applyProtection="false">
      <alignment horizontal="right" vertical="center" textRotation="0" wrapText="false" indent="0" shrinkToFit="false"/>
      <protection locked="true" hidden="false"/>
    </xf>
    <xf numFmtId="180" fontId="30" fillId="0" borderId="6" xfId="0" applyFont="true" applyBorder="true" applyAlignment="true" applyProtection="false">
      <alignment horizontal="right" vertical="center" textRotation="0" wrapText="false" indent="0" shrinkToFit="false"/>
      <protection locked="true" hidden="false"/>
    </xf>
    <xf numFmtId="164" fontId="40" fillId="0" borderId="6" xfId="0" applyFont="true" applyBorder="true" applyAlignment="true" applyProtection="false">
      <alignment horizontal="center" vertical="center" textRotation="0" wrapText="false" indent="0" shrinkToFit="false"/>
      <protection locked="true" hidden="false"/>
    </xf>
    <xf numFmtId="164" fontId="37" fillId="0" borderId="21" xfId="0" applyFont="true" applyBorder="true" applyAlignment="true" applyProtection="false">
      <alignment horizontal="left" vertical="center" textRotation="0" wrapText="true" indent="1" shrinkToFit="false"/>
      <protection locked="true" hidden="false"/>
    </xf>
    <xf numFmtId="174" fontId="30" fillId="0" borderId="21" xfId="0" applyFont="true" applyBorder="true" applyAlignment="true" applyProtection="false">
      <alignment horizontal="right" vertical="center" textRotation="0" wrapText="false" indent="0" shrinkToFit="false"/>
      <protection locked="true" hidden="false"/>
    </xf>
    <xf numFmtId="174" fontId="37" fillId="0" borderId="21" xfId="0" applyFont="true" applyBorder="true" applyAlignment="true" applyProtection="false">
      <alignment horizontal="right" vertical="center" textRotation="0" wrapText="false" indent="0" shrinkToFit="false"/>
      <protection locked="true" hidden="false"/>
    </xf>
    <xf numFmtId="180" fontId="30" fillId="0" borderId="21" xfId="0" applyFont="true" applyBorder="true" applyAlignment="true" applyProtection="false">
      <alignment horizontal="right" vertical="center" textRotation="0" wrapText="false" indent="0" shrinkToFit="false"/>
      <protection locked="true" hidden="false"/>
    </xf>
    <xf numFmtId="164" fontId="40" fillId="0" borderId="2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ont>
        <name val="Calibri"/>
        <charset val="1"/>
        <family val="0"/>
        <b val="1"/>
        <color rgb="FF9C2B2B"/>
        <sz val="11"/>
      </font>
      <fill>
        <patternFill>
          <bgColor rgb="FFF8E4E4"/>
        </patternFill>
      </fill>
    </dxf>
    <dxf>
      <font>
        <name val="Calibri"/>
        <charset val="1"/>
        <family val="0"/>
        <b val="1"/>
        <color rgb="FF8A5D0F"/>
        <sz val="11"/>
      </font>
      <fill>
        <patternFill>
          <bgColor rgb="FFFBF1DC"/>
        </patternFill>
      </fill>
    </dxf>
    <dxf>
      <font>
        <name val="Calibri"/>
        <charset val="1"/>
        <family val="0"/>
        <b val="1"/>
        <color rgb="FF9C2B2B"/>
        <sz val="10"/>
      </font>
    </dxf>
    <dxf>
      <font>
        <name val="Calibri"/>
        <charset val="1"/>
        <family val="0"/>
        <color rgb="FF9C2B2B"/>
        <sz val="10"/>
      </font>
    </dxf>
    <dxf>
      <font>
        <name val="Calibri"/>
        <charset val="1"/>
        <family val="0"/>
        <b val="1"/>
        <color rgb="FF8A5D0F"/>
        <sz val="10"/>
      </font>
      <fill>
        <patternFill>
          <bgColor rgb="FFFBF1DC"/>
        </patternFill>
      </fill>
    </dxf>
    <dxf>
      <font>
        <name val="Calibri"/>
        <charset val="1"/>
        <family val="0"/>
        <b val="1"/>
        <color rgb="FF9C2B2B"/>
        <sz val="10"/>
      </font>
    </dxf>
    <dxf>
      <font>
        <name val="Calibri"/>
        <charset val="1"/>
        <family val="0"/>
        <color rgb="FF9C2B2B"/>
        <sz val="10"/>
      </font>
    </dxf>
    <dxf>
      <font>
        <name val="Calibri"/>
        <charset val="1"/>
        <family val="0"/>
        <color rgb="FF9C2B2B"/>
        <sz val="10"/>
      </font>
      <fill>
        <patternFill>
          <bgColor rgb="FFF8E4E4"/>
        </patternFill>
      </fill>
    </dxf>
    <dxf>
      <font>
        <name val="Calibri"/>
        <charset val="1"/>
        <family val="0"/>
        <color rgb="FF8A5D0F"/>
        <sz val="10"/>
      </font>
      <fill>
        <patternFill>
          <bgColor rgb="FFFBF1DC"/>
        </patternFill>
      </fill>
    </dxf>
    <dxf>
      <font>
        <name val="Calibri"/>
        <charset val="1"/>
        <family val="0"/>
        <color rgb="FF2E6B38"/>
        <sz val="10"/>
      </font>
      <fill>
        <patternFill>
          <bgColor rgb="FFE4EFE4"/>
        </patternFill>
      </fill>
    </dxf>
    <dxf>
      <font>
        <name val="Calibri"/>
        <charset val="1"/>
        <family val="0"/>
        <b val="1"/>
        <color rgb="FF2E6B38"/>
        <sz val="10"/>
      </font>
      <fill>
        <patternFill>
          <bgColor rgb="FFE4EFE4"/>
        </patternFill>
      </fill>
    </dxf>
    <dxf>
      <font>
        <name val="Calibri"/>
        <charset val="1"/>
        <family val="0"/>
        <b val="1"/>
        <color rgb="FF8A5D0F"/>
        <sz val="10"/>
      </font>
      <fill>
        <patternFill>
          <bgColor rgb="FFFBF1DC"/>
        </patternFill>
      </fill>
    </dxf>
    <dxf>
      <font>
        <name val="Calibri"/>
        <charset val="1"/>
        <family val="0"/>
        <b val="1"/>
        <color rgb="FF9C2B2B"/>
        <sz val="15"/>
      </font>
    </dxf>
    <dxf>
      <font>
        <name val="Calibri"/>
        <charset val="1"/>
        <family val="0"/>
        <b val="1"/>
        <color rgb="FF8A5D0F"/>
        <sz val="15"/>
      </font>
    </dxf>
    <dxf>
      <font>
        <name val="Calibri"/>
        <charset val="1"/>
        <family val="0"/>
        <b val="1"/>
        <color rgb="FF9C2B2B"/>
        <sz val="10"/>
      </font>
      <fill>
        <patternFill>
          <bgColor rgb="FFF8E4E4"/>
        </patternFill>
      </fill>
    </dxf>
    <dxf>
      <font>
        <name val="Calibri"/>
        <charset val="1"/>
        <family val="0"/>
        <b val="1"/>
        <color rgb="FF2E6B38"/>
        <sz val="12"/>
      </font>
      <fill>
        <patternFill>
          <bgColor rgb="FFE4EFE4"/>
        </patternFill>
      </fill>
    </dxf>
    <dxf>
      <font>
        <name val="Calibri"/>
        <charset val="1"/>
        <family val="0"/>
        <b val="1"/>
        <color rgb="FF9C2B2B"/>
        <sz val="12"/>
      </font>
      <fill>
        <patternFill>
          <bgColor rgb="FFF8E4E4"/>
        </patternFill>
      </fill>
    </dxf>
  </dxfs>
  <colors>
    <indexedColors>
      <rgbColor rgb="FF000000"/>
      <rgbColor rgb="FFF4F7FA"/>
      <rgbColor rgb="FFFF0000"/>
      <rgbColor rgb="FF00FF00"/>
      <rgbColor rgb="FF0000FF"/>
      <rgbColor rgb="FFFBF2E2"/>
      <rgbColor rgb="FFFF00FF"/>
      <rgbColor rgb="FF00FFFF"/>
      <rgbColor rgb="FF800000"/>
      <rgbColor rgb="FF2E6B38"/>
      <rgbColor rgb="FF000080"/>
      <rgbColor rgb="FF8A5D0F"/>
      <rgbColor rgb="FF800080"/>
      <rgbColor rgb="FF2A6B4F"/>
      <rgbColor rgb="FFAFC0D0"/>
      <rgbColor rgb="FF808080"/>
      <rgbColor rgb="FFE2E8EE"/>
      <rgbColor rgb="FFC0504D"/>
      <rgbColor rgb="FFFFF6DA"/>
      <rgbColor rgb="FFE8EEF4"/>
      <rgbColor rgb="FF660066"/>
      <rgbColor rgb="FFFF8080"/>
      <rgbColor rgb="FF2E5C8A"/>
      <rgbColor rgb="FFDCE5EE"/>
      <rgbColor rgb="FF000080"/>
      <rgbColor rgb="FFFF00FF"/>
      <rgbColor rgb="FFEEF2F7"/>
      <rgbColor rgb="FF00FFFF"/>
      <rgbColor rgb="FF800080"/>
      <rgbColor rgb="FF800000"/>
      <rgbColor rgb="FF008080"/>
      <rgbColor rgb="FF0000FF"/>
      <rgbColor rgb="FF00CCFF"/>
      <rgbColor rgb="FFE7EFE7"/>
      <rgbColor rgb="FFE4EFE4"/>
      <rgbColor rgb="FFFBF1DC"/>
      <rgbColor rgb="FF9FC0DC"/>
      <rgbColor rgb="FFF8E4E4"/>
      <rgbColor rgb="FFB3B3B3"/>
      <rgbColor rgb="FFD9B776"/>
      <rgbColor rgb="FF3366FF"/>
      <rgbColor rgb="FF33CCCC"/>
      <rgbColor rgb="FF99CC00"/>
      <rgbColor rgb="FFFFCC00"/>
      <rgbColor rgb="FFC09A3E"/>
      <rgbColor rgb="FFFF6600"/>
      <rgbColor rgb="FF5B6B7B"/>
      <rgbColor rgb="FF8C99A6"/>
      <rgbColor rgb="FF142F4B"/>
      <rgbColor rgb="FF339966"/>
      <rgbColor rgb="FF003300"/>
      <rgbColor rgb="FF333300"/>
      <rgbColor rgb="FF9C2B2B"/>
      <rgbColor rgb="FF993366"/>
      <rgbColor rgb="FF1F4E7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50" spc="-1" strike="noStrike">
                <a:solidFill>
                  <a:srgbClr val="142f4b"/>
                </a:solidFill>
                <a:latin typeface="Calibri"/>
              </a:defRPr>
            </a:pPr>
            <a:r>
              <a:rPr b="1" sz="1050" spc="-1" strike="noStrike">
                <a:solidFill>
                  <a:srgbClr val="142f4b"/>
                </a:solidFill>
                <a:latin typeface="Calibri"/>
              </a:rPr>
              <a:t>Closing cash vs minimum buffer (SGD)</a:t>
            </a:r>
          </a:p>
        </c:rich>
      </c:tx>
      <c:overlay val="0"/>
      <c:spPr>
        <a:noFill/>
        <a:ln w="0">
          <a:noFill/>
        </a:ln>
      </c:spPr>
    </c:title>
    <c:autoTitleDeleted val="0"/>
    <c:plotArea>
      <c:lineChart>
        <c:grouping val="standard"/>
        <c:varyColors val="0"/>
        <c:ser>
          <c:idx val="0"/>
          <c:order val="0"/>
          <c:tx>
            <c:strRef>
              <c:f>Dashboard!B101</c:f>
              <c:strCache>
                <c:ptCount val="1"/>
                <c:pt idx="0">
                  <c:v>Closing cash</c:v>
                </c:pt>
              </c:strCache>
            </c:strRef>
          </c:tx>
          <c:spPr>
            <a:solidFill>
              <a:srgbClr val="142f4b"/>
            </a:solidFill>
            <a:ln w="25920">
              <a:solidFill>
                <a:srgbClr val="142f4b"/>
              </a:solidFill>
              <a:round/>
            </a:ln>
          </c:spPr>
          <c:marker>
            <c:symbol val="circle"/>
            <c:size val="5"/>
            <c:spPr>
              <a:solidFill>
                <a:srgbClr val="142f4b"/>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Dashboard!$A$102:$A$114</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Dashboard!$B$102:$B$114</c:f>
              <c:numCache>
                <c:formatCode>#,##0;\(#,##0\);\-</c:formatCode>
                <c:ptCount val="13"/>
                <c:pt idx="0">
                  <c:v>229516.48596</c:v>
                </c:pt>
                <c:pt idx="1">
                  <c:v>210506.606584</c:v>
                </c:pt>
                <c:pt idx="2">
                  <c:v>237278.14226</c:v>
                </c:pt>
                <c:pt idx="3">
                  <c:v>265003.41798</c:v>
                </c:pt>
                <c:pt idx="4">
                  <c:v>173817.289784</c:v>
                </c:pt>
                <c:pt idx="5">
                  <c:v>196072.2</c:v>
                </c:pt>
                <c:pt idx="6">
                  <c:v>232293.0914</c:v>
                </c:pt>
                <c:pt idx="7">
                  <c:v>180344.897556</c:v>
                </c:pt>
                <c:pt idx="8">
                  <c:v>114528.4346</c:v>
                </c:pt>
                <c:pt idx="9">
                  <c:v>134028.496084</c:v>
                </c:pt>
                <c:pt idx="10">
                  <c:v>129334.055252</c:v>
                </c:pt>
                <c:pt idx="11">
                  <c:v>160084.209932</c:v>
                </c:pt>
                <c:pt idx="12">
                  <c:v>139650.216524</c:v>
                </c:pt>
              </c:numCache>
            </c:numRef>
          </c:val>
          <c:smooth val="0"/>
        </c:ser>
        <c:ser>
          <c:idx val="1"/>
          <c:order val="1"/>
          <c:tx>
            <c:strRef>
              <c:f>Dashboard!C101</c:f>
              <c:strCache>
                <c:ptCount val="1"/>
                <c:pt idx="0">
                  <c:v>Minimum buffer</c:v>
                </c:pt>
              </c:strCache>
            </c:strRef>
          </c:tx>
          <c:spPr>
            <a:solidFill>
              <a:srgbClr val="c0504d"/>
            </a:solidFill>
            <a:ln w="15840">
              <a:solidFill>
                <a:srgbClr val="c0504d"/>
              </a:solidFill>
              <a:prstDash val="dash"/>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Dashboard!$A$102:$A$114</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Dashboard!$C$102:$C$114</c:f>
              <c:numCache>
                <c:formatCode>#,##0;\(#,##0\);\-</c:formatCode>
                <c:ptCount val="13"/>
                <c:pt idx="0">
                  <c:v>120000</c:v>
                </c:pt>
                <c:pt idx="1">
                  <c:v>120000</c:v>
                </c:pt>
                <c:pt idx="2">
                  <c:v>120000</c:v>
                </c:pt>
                <c:pt idx="3">
                  <c:v>120000</c:v>
                </c:pt>
                <c:pt idx="4">
                  <c:v>120000</c:v>
                </c:pt>
                <c:pt idx="5">
                  <c:v>120000</c:v>
                </c:pt>
                <c:pt idx="6">
                  <c:v>120000</c:v>
                </c:pt>
                <c:pt idx="7">
                  <c:v>120000</c:v>
                </c:pt>
                <c:pt idx="8">
                  <c:v>120000</c:v>
                </c:pt>
                <c:pt idx="9">
                  <c:v>120000</c:v>
                </c:pt>
                <c:pt idx="10">
                  <c:v>120000</c:v>
                </c:pt>
                <c:pt idx="11">
                  <c:v>120000</c:v>
                </c:pt>
                <c:pt idx="12">
                  <c:v>120000</c:v>
                </c:pt>
              </c:numCache>
            </c:numRef>
          </c:val>
          <c:smooth val="0"/>
        </c:ser>
        <c:hiLowLines>
          <c:spPr>
            <a:ln w="0">
              <a:noFill/>
            </a:ln>
          </c:spPr>
        </c:hiLowLines>
        <c:marker val="1"/>
        <c:axId val="26261269"/>
        <c:axId val="46561446"/>
      </c:lineChart>
      <c:catAx>
        <c:axId val="2626126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850" spc="-1" strike="noStrike">
                <a:solidFill>
                  <a:srgbClr val="5b6b7b"/>
                </a:solidFill>
                <a:latin typeface="Calibri"/>
              </a:defRPr>
            </a:pPr>
          </a:p>
        </c:txPr>
        <c:crossAx val="46561446"/>
        <c:crosses val="autoZero"/>
        <c:auto val="1"/>
        <c:lblAlgn val="ctr"/>
        <c:lblOffset val="100"/>
        <c:noMultiLvlLbl val="0"/>
      </c:catAx>
      <c:valAx>
        <c:axId val="46561446"/>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b="0" sz="850" spc="-1" strike="noStrike">
                <a:solidFill>
                  <a:srgbClr val="5b6b7b"/>
                </a:solidFill>
                <a:latin typeface="Calibri"/>
              </a:defRPr>
            </a:pPr>
          </a:p>
        </c:txPr>
        <c:crossAx val="26261269"/>
        <c:crosses val="autoZero"/>
        <c:crossBetween val="between"/>
      </c:valAx>
      <c:spPr>
        <a:noFill/>
        <a:ln w="0">
          <a:noFill/>
        </a:ln>
      </c:spPr>
    </c:plotArea>
    <c:legend>
      <c:legendPos val="b"/>
      <c:overlay val="0"/>
      <c:spPr>
        <a:noFill/>
        <a:ln w="0">
          <a:noFill/>
        </a:ln>
      </c:spPr>
      <c:txPr>
        <a:bodyPr/>
        <a:lstStyle/>
        <a:p>
          <a:pPr>
            <a:defRPr b="0" sz="850" spc="-1" strike="noStrike">
              <a:solidFill>
                <a:srgbClr val="5b6b7b"/>
              </a:solidFill>
              <a:latin typeface="Calibri"/>
            </a:defRPr>
          </a:pPr>
        </a:p>
      </c:txPr>
    </c:legend>
    <c:plotVisOnly val="1"/>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00" spc="-1" strike="noStrike">
                <a:solidFill>
                  <a:srgbClr val="142f4b"/>
                </a:solidFill>
                <a:latin typeface="Calibri"/>
              </a:defRPr>
            </a:pPr>
            <a:r>
              <a:rPr b="1" sz="1000" spc="-1" strike="noStrike">
                <a:solidFill>
                  <a:srgbClr val="142f4b"/>
                </a:solidFill>
                <a:latin typeface="Calibri"/>
              </a:rPr>
              <a:t>Contribution vs direct channel profit, per month (SGD)</a:t>
            </a:r>
          </a:p>
        </c:rich>
      </c:tx>
      <c:overlay val="0"/>
      <c:spPr>
        <a:noFill/>
        <a:ln w="0">
          <a:noFill/>
        </a:ln>
      </c:spPr>
    </c:title>
    <c:autoTitleDeleted val="0"/>
    <c:plotArea>
      <c:barChart>
        <c:barDir val="col"/>
        <c:grouping val="clustered"/>
        <c:varyColors val="0"/>
        <c:ser>
          <c:idx val="0"/>
          <c:order val="0"/>
          <c:tx>
            <c:strRef>
              <c:f>Dashboard!B116</c:f>
              <c:strCache>
                <c:ptCount val="1"/>
                <c:pt idx="0">
                  <c:v>Contribution profit / month</c:v>
                </c:pt>
              </c:strCache>
            </c:strRef>
          </c:tx>
          <c:spPr>
            <a:solidFill>
              <a:srgbClr val="9fc0dc"/>
            </a:solidFill>
            <a:ln w="0">
              <a:noFill/>
            </a:ln>
          </c:spPr>
          <c:invertIfNegative val="0"/>
          <c:dLbls>
            <c:numFmt formatCode="#,##0;\(#,##0\);\-" sourceLinked="1"/>
            <c:txPr>
              <a:bodyPr wrap="square"/>
              <a:lstStyle/>
              <a:p>
                <a:pPr>
                  <a:defRPr b="0" sz="750" spc="-1" strike="noStrike">
                    <a:solidFill>
                      <a:srgbClr val="5b6b7b"/>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Dashboard!$A$117:$A$120</c:f>
              <c:strCache>
                <c:ptCount val="4"/>
                <c:pt idx="0">
                  <c:v>Physical Store</c:v>
                </c:pt>
                <c:pt idx="1">
                  <c:v>E-commerce</c:v>
                </c:pt>
                <c:pt idx="2">
                  <c:v>Events / Pop-ups</c:v>
                </c:pt>
                <c:pt idx="3">
                  <c:v>Consignment</c:v>
                </c:pt>
              </c:strCache>
            </c:strRef>
          </c:cat>
          <c:val>
            <c:numRef>
              <c:f>Dashboard!$B$117:$B$120</c:f>
              <c:numCache>
                <c:formatCode>#,##0;\(#,##0\);\-</c:formatCode>
                <c:ptCount val="4"/>
                <c:pt idx="0">
                  <c:v>43345.28</c:v>
                </c:pt>
                <c:pt idx="1">
                  <c:v>34777.6</c:v>
                </c:pt>
                <c:pt idx="2">
                  <c:v>12833.1</c:v>
                </c:pt>
                <c:pt idx="3">
                  <c:v>9690</c:v>
                </c:pt>
              </c:numCache>
            </c:numRef>
          </c:val>
        </c:ser>
        <c:ser>
          <c:idx val="1"/>
          <c:order val="1"/>
          <c:tx>
            <c:strRef>
              <c:f>Dashboard!C116</c:f>
              <c:strCache>
                <c:ptCount val="1"/>
                <c:pt idx="0">
                  <c:v>Direct channel profit / month</c:v>
                </c:pt>
              </c:strCache>
            </c:strRef>
          </c:tx>
          <c:spPr>
            <a:solidFill>
              <a:srgbClr val="142f4b"/>
            </a:solidFill>
            <a:ln w="0">
              <a:noFill/>
            </a:ln>
          </c:spPr>
          <c:invertIfNegative val="0"/>
          <c:dLbls>
            <c:numFmt formatCode="#,##0;\(#,##0\);\-" sourceLinked="1"/>
            <c:txPr>
              <a:bodyPr wrap="square"/>
              <a:lstStyle/>
              <a:p>
                <a:pPr>
                  <a:defRPr b="0" sz="750" spc="-1" strike="noStrike">
                    <a:solidFill>
                      <a:srgbClr val="5b6b7b"/>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Dashboard!$A$117:$A$120</c:f>
              <c:strCache>
                <c:ptCount val="4"/>
                <c:pt idx="0">
                  <c:v>Physical Store</c:v>
                </c:pt>
                <c:pt idx="1">
                  <c:v>E-commerce</c:v>
                </c:pt>
                <c:pt idx="2">
                  <c:v>Events / Pop-ups</c:v>
                </c:pt>
                <c:pt idx="3">
                  <c:v>Consignment</c:v>
                </c:pt>
              </c:strCache>
            </c:strRef>
          </c:cat>
          <c:val>
            <c:numRef>
              <c:f>Dashboard!$C$117:$C$120</c:f>
              <c:numCache>
                <c:formatCode>#,##0;\(#,##0\);\-</c:formatCode>
                <c:ptCount val="4"/>
                <c:pt idx="0">
                  <c:v>-1104.72000000001</c:v>
                </c:pt>
                <c:pt idx="1">
                  <c:v>28477.6</c:v>
                </c:pt>
                <c:pt idx="2">
                  <c:v>12833.1</c:v>
                </c:pt>
                <c:pt idx="3">
                  <c:v>9690</c:v>
                </c:pt>
              </c:numCache>
            </c:numRef>
          </c:val>
        </c:ser>
        <c:gapWidth val="80"/>
        <c:overlap val="0"/>
        <c:axId val="64863602"/>
        <c:axId val="84673190"/>
      </c:barChart>
      <c:catAx>
        <c:axId val="64863602"/>
        <c:scaling>
          <c:orientation val="minMax"/>
        </c:scaling>
        <c:delete val="0"/>
        <c:axPos val="b"/>
        <c:numFmt formatCode="General" sourceLinked="1"/>
        <c:majorTickMark val="none"/>
        <c:minorTickMark val="none"/>
        <c:tickLblPos val="low"/>
        <c:spPr>
          <a:ln w="0">
            <a:solidFill>
              <a:srgbClr val="b3b3b3"/>
            </a:solidFill>
          </a:ln>
        </c:spPr>
        <c:txPr>
          <a:bodyPr/>
          <a:lstStyle/>
          <a:p>
            <a:pPr>
              <a:defRPr b="0" sz="850" spc="-1" strike="noStrike">
                <a:solidFill>
                  <a:srgbClr val="5b6b7b"/>
                </a:solidFill>
                <a:latin typeface="Calibri"/>
              </a:defRPr>
            </a:pPr>
          </a:p>
        </c:txPr>
        <c:crossAx val="84673190"/>
        <c:crosses val="autoZero"/>
        <c:auto val="1"/>
        <c:lblAlgn val="ctr"/>
        <c:lblOffset val="100"/>
        <c:noMultiLvlLbl val="0"/>
      </c:catAx>
      <c:valAx>
        <c:axId val="84673190"/>
        <c:scaling>
          <c:orientation val="minMax"/>
        </c:scaling>
        <c:delete val="0"/>
        <c:axPos val="l"/>
        <c:numFmt formatCode="#,##0;\(#,##0\);\-" sourceLinked="0"/>
        <c:majorTickMark val="none"/>
        <c:minorTickMark val="none"/>
        <c:tickLblPos val="nextTo"/>
        <c:spPr>
          <a:ln w="0">
            <a:solidFill>
              <a:srgbClr val="b3b3b3"/>
            </a:solidFill>
          </a:ln>
        </c:spPr>
        <c:txPr>
          <a:bodyPr/>
          <a:lstStyle/>
          <a:p>
            <a:pPr>
              <a:defRPr b="0" sz="850" spc="-1" strike="noStrike">
                <a:solidFill>
                  <a:srgbClr val="5b6b7b"/>
                </a:solidFill>
                <a:latin typeface="Calibri"/>
              </a:defRPr>
            </a:pPr>
          </a:p>
        </c:txPr>
        <c:crossAx val="64863602"/>
        <c:crosses val="autoZero"/>
        <c:crossBetween val="between"/>
      </c:valAx>
      <c:spPr>
        <a:noFill/>
        <a:ln w="0">
          <a:noFill/>
        </a:ln>
      </c:spPr>
    </c:plotArea>
    <c:legend>
      <c:legendPos val="b"/>
      <c:overlay val="0"/>
      <c:spPr>
        <a:noFill/>
        <a:ln w="0">
          <a:noFill/>
        </a:ln>
      </c:spPr>
      <c:txPr>
        <a:bodyPr/>
        <a:lstStyle/>
        <a:p>
          <a:pPr>
            <a:defRPr b="0" sz="850" spc="-1" strike="noStrike">
              <a:solidFill>
                <a:srgbClr val="5b6b7b"/>
              </a:solidFill>
              <a:latin typeface="Calibri"/>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50" spc="-1" strike="noStrike">
                <a:solidFill>
                  <a:srgbClr val="142f4b"/>
                </a:solidFill>
                <a:latin typeface="Calibri"/>
              </a:defRPr>
            </a:pPr>
            <a:r>
              <a:rPr b="1" sz="1050" spc="-1" strike="noStrike">
                <a:solidFill>
                  <a:srgbClr val="142f4b"/>
                </a:solidFill>
                <a:latin typeface="Calibri"/>
              </a:rPr>
              <a:t>Store monthly sales vs break-even (SGD)</a:t>
            </a:r>
          </a:p>
        </c:rich>
      </c:tx>
      <c:overlay val="0"/>
      <c:spPr>
        <a:noFill/>
        <a:ln w="0">
          <a:noFill/>
        </a:ln>
      </c:spPr>
    </c:title>
    <c:autoTitleDeleted val="0"/>
    <c:plotArea>
      <c:barChart>
        <c:barDir val="col"/>
        <c:grouping val="clustered"/>
        <c:varyColors val="0"/>
        <c:ser>
          <c:idx val="0"/>
          <c:order val="0"/>
          <c:tx>
            <c:strRef>
              <c:f>Dashboard!B122</c:f>
              <c:strCache>
                <c:ptCount val="1"/>
                <c:pt idx="0">
                  <c:v>SGD per month</c:v>
                </c:pt>
              </c:strCache>
            </c:strRef>
          </c:tx>
          <c:spPr>
            <a:solidFill>
              <a:srgbClr val="2e5c8a"/>
            </a:solidFill>
            <a:ln w="0">
              <a:noFill/>
            </a:ln>
          </c:spPr>
          <c:invertIfNegative val="0"/>
          <c:dLbls>
            <c:numFmt formatCode="#,##0;\(#,##0\);\-" sourceLinked="1"/>
            <c:txPr>
              <a:bodyPr wrap="square"/>
              <a:lstStyle/>
              <a:p>
                <a:pPr>
                  <a:defRPr b="0" sz="850" spc="-1" strike="noStrike">
                    <a:solidFill>
                      <a:srgbClr val="5b6b7b"/>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Dashboard!$A$123:$A$124</c:f>
              <c:strCache>
                <c:ptCount val="2"/>
                <c:pt idx="0">
                  <c:v>Current net sales</c:v>
                </c:pt>
                <c:pt idx="1">
                  <c:v>Break-even sales</c:v>
                </c:pt>
              </c:strCache>
            </c:strRef>
          </c:cat>
          <c:val>
            <c:numRef>
              <c:f>Dashboard!$B$123:$B$124</c:f>
              <c:numCache>
                <c:formatCode>#,##0;\(#,##0\);\-</c:formatCode>
                <c:ptCount val="2"/>
                <c:pt idx="0">
                  <c:v>82720</c:v>
                </c:pt>
                <c:pt idx="1">
                  <c:v>84828.2442748092</c:v>
                </c:pt>
              </c:numCache>
            </c:numRef>
          </c:val>
        </c:ser>
        <c:gapWidth val="150"/>
        <c:overlap val="0"/>
        <c:axId val="26905693"/>
        <c:axId val="4465505"/>
      </c:barChart>
      <c:catAx>
        <c:axId val="2690569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850" spc="-1" strike="noStrike">
                <a:solidFill>
                  <a:srgbClr val="5b6b7b"/>
                </a:solidFill>
                <a:latin typeface="Calibri"/>
              </a:defRPr>
            </a:pPr>
          </a:p>
        </c:txPr>
        <c:crossAx val="4465505"/>
        <c:crosses val="autoZero"/>
        <c:auto val="1"/>
        <c:lblAlgn val="ctr"/>
        <c:lblOffset val="100"/>
        <c:noMultiLvlLbl val="0"/>
      </c:catAx>
      <c:valAx>
        <c:axId val="4465505"/>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b="0" sz="850" spc="-1" strike="noStrike">
                <a:solidFill>
                  <a:srgbClr val="5b6b7b"/>
                </a:solidFill>
                <a:latin typeface="Calibri"/>
              </a:defRPr>
            </a:pPr>
          </a:p>
        </c:txPr>
        <c:crossAx val="26905693"/>
        <c:crosses val="autoZero"/>
        <c:crossBetween val="between"/>
      </c:valAx>
      <c:spPr>
        <a:noFill/>
        <a:ln w="0">
          <a:noFill/>
        </a:ln>
      </c:spPr>
    </c:plotArea>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50" spc="-1" strike="noStrike">
                <a:solidFill>
                  <a:srgbClr val="142f4b"/>
                </a:solidFill>
                <a:latin typeface="Calibri"/>
              </a:defRPr>
            </a:pPr>
            <a:r>
              <a:rPr b="1" sz="1050" spc="-1" strike="noStrike">
                <a:solidFill>
                  <a:srgbClr val="142f4b"/>
                </a:solidFill>
                <a:latin typeface="Calibri"/>
              </a:rPr>
              <a:t>Scenario cash outcomes (SGD)</a:t>
            </a:r>
          </a:p>
        </c:rich>
      </c:tx>
      <c:overlay val="0"/>
      <c:spPr>
        <a:noFill/>
        <a:ln w="0">
          <a:noFill/>
        </a:ln>
      </c:spPr>
    </c:title>
    <c:autoTitleDeleted val="0"/>
    <c:plotArea>
      <c:barChart>
        <c:barDir val="col"/>
        <c:grouping val="clustered"/>
        <c:varyColors val="0"/>
        <c:ser>
          <c:idx val="0"/>
          <c:order val="0"/>
          <c:tx>
            <c:strRef>
              <c:f>Dashboard!B126</c:f>
              <c:strCache>
                <c:ptCount val="1"/>
                <c:pt idx="0">
                  <c:v>Ending cash - Week 13</c:v>
                </c:pt>
              </c:strCache>
            </c:strRef>
          </c:tx>
          <c:spPr>
            <a:solidFill>
              <a:srgbClr val="142f4b"/>
            </a:solidFill>
            <a:ln w="0">
              <a:noFill/>
            </a:ln>
          </c:spPr>
          <c:invertIfNegative val="0"/>
          <c:dLbls>
            <c:numFmt formatCode="#,##0;\(#,##0\);\-" sourceLinked="1"/>
            <c:txPr>
              <a:bodyPr wrap="square"/>
              <a:lstStyle/>
              <a:p>
                <a:pPr>
                  <a:defRPr b="0" sz="850" spc="-1" strike="noStrike">
                    <a:solidFill>
                      <a:srgbClr val="5b6b7b"/>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Dashboard!$A$127:$A$129</c:f>
              <c:strCache>
                <c:ptCount val="3"/>
                <c:pt idx="0">
                  <c:v>1. Current Operations</c:v>
                </c:pt>
                <c:pt idx="1">
                  <c:v>2. Store Improvement</c:v>
                </c:pt>
                <c:pt idx="2">
                  <c:v>3. Store Exit / Channel Shift</c:v>
                </c:pt>
              </c:strCache>
            </c:strRef>
          </c:cat>
          <c:val>
            <c:numRef>
              <c:f>Dashboard!$B$127:$B$129</c:f>
              <c:numCache>
                <c:formatCode>#,##0;\(#,##0\);\-</c:formatCode>
                <c:ptCount val="3"/>
                <c:pt idx="0">
                  <c:v>139650.216524</c:v>
                </c:pt>
                <c:pt idx="1">
                  <c:v>163301.63986176</c:v>
                </c:pt>
                <c:pt idx="2">
                  <c:v>128482.576791</c:v>
                </c:pt>
              </c:numCache>
            </c:numRef>
          </c:val>
        </c:ser>
        <c:ser>
          <c:idx val="1"/>
          <c:order val="1"/>
          <c:tx>
            <c:strRef>
              <c:f>Dashboard!C126</c:f>
              <c:strCache>
                <c:ptCount val="1"/>
                <c:pt idx="0">
                  <c:v>Lowest projected cash</c:v>
                </c:pt>
              </c:strCache>
            </c:strRef>
          </c:tx>
          <c:spPr>
            <a:solidFill>
              <a:srgbClr val="9fc0dc"/>
            </a:solidFill>
            <a:ln w="0">
              <a:noFill/>
            </a:ln>
          </c:spPr>
          <c:invertIfNegative val="0"/>
          <c:dLbls>
            <c:numFmt formatCode="#,##0;\(#,##0\);\-" sourceLinked="1"/>
            <c:txPr>
              <a:bodyPr wrap="square"/>
              <a:lstStyle/>
              <a:p>
                <a:pPr>
                  <a:defRPr b="0" sz="850" spc="-1" strike="noStrike">
                    <a:solidFill>
                      <a:srgbClr val="5b6b7b"/>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Dashboard!$A$127:$A$129</c:f>
              <c:strCache>
                <c:ptCount val="3"/>
                <c:pt idx="0">
                  <c:v>1. Current Operations</c:v>
                </c:pt>
                <c:pt idx="1">
                  <c:v>2. Store Improvement</c:v>
                </c:pt>
                <c:pt idx="2">
                  <c:v>3. Store Exit / Channel Shift</c:v>
                </c:pt>
              </c:strCache>
            </c:strRef>
          </c:cat>
          <c:val>
            <c:numRef>
              <c:f>Dashboard!$C$127:$C$129</c:f>
              <c:numCache>
                <c:formatCode>#,##0;\(#,##0\);\-</c:formatCode>
                <c:ptCount val="3"/>
                <c:pt idx="0">
                  <c:v>114528.4346</c:v>
                </c:pt>
                <c:pt idx="1">
                  <c:v>130288.226449</c:v>
                </c:pt>
                <c:pt idx="2">
                  <c:v>97330.402783</c:v>
                </c:pt>
              </c:numCache>
            </c:numRef>
          </c:val>
        </c:ser>
        <c:gapWidth val="150"/>
        <c:overlap val="0"/>
        <c:axId val="73281854"/>
        <c:axId val="26409584"/>
      </c:barChart>
      <c:catAx>
        <c:axId val="7328185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850" spc="-1" strike="noStrike">
                <a:solidFill>
                  <a:srgbClr val="5b6b7b"/>
                </a:solidFill>
                <a:latin typeface="Calibri"/>
              </a:defRPr>
            </a:pPr>
          </a:p>
        </c:txPr>
        <c:crossAx val="26409584"/>
        <c:crosses val="autoZero"/>
        <c:auto val="1"/>
        <c:lblAlgn val="ctr"/>
        <c:lblOffset val="100"/>
        <c:noMultiLvlLbl val="0"/>
      </c:catAx>
      <c:valAx>
        <c:axId val="26409584"/>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b="0" sz="850" spc="-1" strike="noStrike">
                <a:solidFill>
                  <a:srgbClr val="5b6b7b"/>
                </a:solidFill>
                <a:latin typeface="Calibri"/>
              </a:defRPr>
            </a:pPr>
          </a:p>
        </c:txPr>
        <c:crossAx val="73281854"/>
        <c:crosses val="autoZero"/>
        <c:crossBetween val="between"/>
      </c:valAx>
      <c:spPr>
        <a:noFill/>
        <a:ln w="0">
          <a:noFill/>
        </a:ln>
      </c:spPr>
    </c:plotArea>
    <c:legend>
      <c:legendPos val="b"/>
      <c:overlay val="0"/>
      <c:spPr>
        <a:noFill/>
        <a:ln w="0">
          <a:noFill/>
        </a:ln>
      </c:spPr>
      <c:txPr>
        <a:bodyPr/>
        <a:lstStyle/>
        <a:p>
          <a:pPr>
            <a:defRPr b="0" sz="850" spc="-1" strike="noStrike">
              <a:solidFill>
                <a:srgbClr val="5b6b7b"/>
              </a:solidFill>
              <a:latin typeface="Calibri"/>
            </a:defRPr>
          </a:pPr>
        </a:p>
      </c:txPr>
    </c:legend>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0</xdr:rowOff>
    </xdr:from>
    <xdr:to>
      <xdr:col>5</xdr:col>
      <xdr:colOff>651240</xdr:colOff>
      <xdr:row>34</xdr:row>
      <xdr:rowOff>93960</xdr:rowOff>
    </xdr:to>
    <xdr:graphicFrame>
      <xdr:nvGraphicFramePr>
        <xdr:cNvPr id="0" name="Chart 1"/>
        <xdr:cNvGraphicFramePr/>
      </xdr:nvGraphicFramePr>
      <xdr:xfrm>
        <a:off x="0" y="4067280"/>
        <a:ext cx="5327280" cy="2951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19</xdr:row>
      <xdr:rowOff>0</xdr:rowOff>
    </xdr:from>
    <xdr:to>
      <xdr:col>13</xdr:col>
      <xdr:colOff>491400</xdr:colOff>
      <xdr:row>34</xdr:row>
      <xdr:rowOff>93960</xdr:rowOff>
    </xdr:to>
    <xdr:graphicFrame>
      <xdr:nvGraphicFramePr>
        <xdr:cNvPr id="1" name="Chart 2"/>
        <xdr:cNvGraphicFramePr/>
      </xdr:nvGraphicFramePr>
      <xdr:xfrm>
        <a:off x="6934320" y="4067280"/>
        <a:ext cx="5327280" cy="2951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36</xdr:row>
      <xdr:rowOff>0</xdr:rowOff>
    </xdr:from>
    <xdr:to>
      <xdr:col>5</xdr:col>
      <xdr:colOff>651240</xdr:colOff>
      <xdr:row>51</xdr:row>
      <xdr:rowOff>93960</xdr:rowOff>
    </xdr:to>
    <xdr:graphicFrame>
      <xdr:nvGraphicFramePr>
        <xdr:cNvPr id="2" name="Chart 3"/>
        <xdr:cNvGraphicFramePr/>
      </xdr:nvGraphicFramePr>
      <xdr:xfrm>
        <a:off x="0" y="7305840"/>
        <a:ext cx="5327280" cy="2951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0</xdr:rowOff>
    </xdr:from>
    <xdr:to>
      <xdr:col>13</xdr:col>
      <xdr:colOff>491400</xdr:colOff>
      <xdr:row>51</xdr:row>
      <xdr:rowOff>93960</xdr:rowOff>
    </xdr:to>
    <xdr:graphicFrame>
      <xdr:nvGraphicFramePr>
        <xdr:cNvPr id="3" name="Chart 4"/>
        <xdr:cNvGraphicFramePr/>
      </xdr:nvGraphicFramePr>
      <xdr:xfrm>
        <a:off x="6934320" y="7305840"/>
        <a:ext cx="5327280" cy="2951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99A6"/>
    <pageSetUpPr fitToPage="true"/>
  </sheetPr>
  <dimension ref="A1:F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30"/>
    <col collapsed="false" customWidth="true" hidden="false" outlineLevel="0" max="3" min="3" style="1" width="101"/>
    <col collapsed="false" customWidth="true" hidden="false" outlineLevel="0" max="6" min="4" style="1" width="2"/>
  </cols>
  <sheetData>
    <row r="1" customFormat="false" ht="22.5" hidden="false" customHeight="true" outlineLevel="0" collapsed="false">
      <c r="A1" s="2" t="s">
        <v>0</v>
      </c>
      <c r="B1" s="3"/>
      <c r="C1" s="4" t="s">
        <v>1</v>
      </c>
      <c r="F1" s="4"/>
    </row>
    <row r="2" customFormat="false" ht="16.5" hidden="false" customHeight="true" outlineLevel="0" collapsed="false">
      <c r="A2" s="5" t="s">
        <v>2</v>
      </c>
      <c r="B2" s="6"/>
      <c r="C2" s="6"/>
      <c r="D2" s="7"/>
      <c r="E2" s="7"/>
      <c r="F2" s="8"/>
    </row>
    <row r="3" customFormat="false" ht="6.75" hidden="false" customHeight="true" outlineLevel="0" collapsed="false">
      <c r="A3" s="9"/>
      <c r="B3" s="9"/>
      <c r="C3" s="9"/>
      <c r="D3" s="9"/>
      <c r="E3" s="9"/>
      <c r="F3" s="9"/>
    </row>
    <row r="4" customFormat="false" ht="30" hidden="false" customHeight="true" outlineLevel="0" collapsed="false">
      <c r="A4" s="10"/>
      <c r="B4" s="11" t="s">
        <v>3</v>
      </c>
      <c r="C4" s="12" t="s">
        <v>4</v>
      </c>
      <c r="D4" s="9"/>
      <c r="E4" s="9"/>
      <c r="F4" s="9"/>
    </row>
    <row r="5" customFormat="false" ht="25.5" hidden="false" customHeight="true" outlineLevel="0" collapsed="false">
      <c r="A5" s="9"/>
      <c r="B5" s="9"/>
      <c r="C5" s="13" t="s">
        <v>5</v>
      </c>
      <c r="D5" s="9"/>
      <c r="E5" s="9"/>
      <c r="F5" s="9"/>
    </row>
    <row r="6" customFormat="false" ht="6.75" hidden="false" customHeight="true" outlineLevel="0" collapsed="false">
      <c r="A6" s="9"/>
      <c r="B6" s="9"/>
      <c r="C6" s="9"/>
      <c r="D6" s="9"/>
      <c r="E6" s="9"/>
      <c r="F6" s="9"/>
    </row>
    <row r="7" customFormat="false" ht="18.75" hidden="false" customHeight="true" outlineLevel="0" collapsed="false">
      <c r="A7" s="14" t="s">
        <v>6</v>
      </c>
      <c r="B7" s="14"/>
      <c r="C7" s="14"/>
      <c r="D7" s="9"/>
      <c r="E7" s="9"/>
      <c r="F7" s="9"/>
    </row>
    <row r="8" customFormat="false" ht="15" hidden="false" customHeight="true" outlineLevel="0" collapsed="false">
      <c r="A8" s="9"/>
      <c r="B8" s="15" t="s">
        <v>7</v>
      </c>
      <c r="C8" s="16" t="s">
        <v>8</v>
      </c>
      <c r="D8" s="9"/>
      <c r="E8" s="9"/>
      <c r="F8" s="9"/>
    </row>
    <row r="9" customFormat="false" ht="15" hidden="false" customHeight="true" outlineLevel="0" collapsed="false">
      <c r="A9" s="9"/>
      <c r="B9" s="15" t="s">
        <v>9</v>
      </c>
      <c r="C9" s="16" t="s">
        <v>10</v>
      </c>
      <c r="D9" s="9"/>
      <c r="E9" s="9"/>
      <c r="F9" s="9"/>
    </row>
    <row r="10" customFormat="false" ht="15" hidden="false" customHeight="true" outlineLevel="0" collapsed="false">
      <c r="A10" s="9"/>
      <c r="B10" s="15" t="s">
        <v>11</v>
      </c>
      <c r="C10" s="16" t="s">
        <v>12</v>
      </c>
      <c r="D10" s="9"/>
      <c r="E10" s="9"/>
      <c r="F10" s="9"/>
    </row>
    <row r="11" customFormat="false" ht="15" hidden="false" customHeight="true" outlineLevel="0" collapsed="false">
      <c r="A11" s="9"/>
      <c r="B11" s="15" t="s">
        <v>13</v>
      </c>
      <c r="C11" s="16" t="s">
        <v>14</v>
      </c>
      <c r="D11" s="9"/>
      <c r="E11" s="9"/>
      <c r="F11" s="9"/>
    </row>
    <row r="12" customFormat="false" ht="15" hidden="false" customHeight="true" outlineLevel="0" collapsed="false">
      <c r="A12" s="9"/>
      <c r="B12" s="15" t="s">
        <v>15</v>
      </c>
      <c r="C12" s="16" t="s">
        <v>16</v>
      </c>
      <c r="D12" s="9"/>
      <c r="E12" s="9"/>
      <c r="F12" s="9"/>
    </row>
    <row r="13" customFormat="false" ht="15" hidden="false" customHeight="true" outlineLevel="0" collapsed="false">
      <c r="A13" s="9"/>
      <c r="B13" s="15" t="s">
        <v>17</v>
      </c>
      <c r="C13" s="16" t="s">
        <v>18</v>
      </c>
      <c r="D13" s="9"/>
      <c r="E13" s="9"/>
      <c r="F13" s="9"/>
    </row>
    <row r="14" customFormat="false" ht="15" hidden="false" customHeight="true" outlineLevel="0" collapsed="false">
      <c r="A14" s="9"/>
      <c r="B14" s="15" t="s">
        <v>19</v>
      </c>
      <c r="C14" s="16" t="s">
        <v>20</v>
      </c>
      <c r="D14" s="9"/>
      <c r="E14" s="9"/>
      <c r="F14" s="9"/>
    </row>
    <row r="15" customFormat="false" ht="15" hidden="false" customHeight="true" outlineLevel="0" collapsed="false">
      <c r="A15" s="9"/>
      <c r="B15" s="15" t="s">
        <v>21</v>
      </c>
      <c r="C15" s="16" t="s">
        <v>22</v>
      </c>
      <c r="D15" s="9"/>
      <c r="E15" s="9"/>
      <c r="F15" s="9"/>
    </row>
    <row r="16" customFormat="false" ht="6.75" hidden="false" customHeight="true" outlineLevel="0" collapsed="false">
      <c r="A16" s="9"/>
      <c r="B16" s="9"/>
      <c r="C16" s="9"/>
      <c r="D16" s="9"/>
      <c r="E16" s="9"/>
      <c r="F16" s="9"/>
    </row>
    <row r="17" customFormat="false" ht="18.75" hidden="false" customHeight="true" outlineLevel="0" collapsed="false">
      <c r="A17" s="14" t="s">
        <v>23</v>
      </c>
      <c r="B17" s="14"/>
      <c r="C17" s="14"/>
      <c r="D17" s="9"/>
      <c r="E17" s="9"/>
      <c r="F17" s="9"/>
    </row>
    <row r="18" customFormat="false" ht="15" hidden="false" customHeight="true" outlineLevel="0" collapsed="false">
      <c r="A18" s="9"/>
      <c r="B18" s="17" t="s">
        <v>24</v>
      </c>
      <c r="C18" s="16" t="s">
        <v>25</v>
      </c>
      <c r="D18" s="9"/>
      <c r="E18" s="9"/>
      <c r="F18" s="9"/>
    </row>
    <row r="19" customFormat="false" ht="15" hidden="false" customHeight="true" outlineLevel="0" collapsed="false">
      <c r="A19" s="9"/>
      <c r="B19" s="17" t="s">
        <v>26</v>
      </c>
      <c r="C19" s="16" t="s">
        <v>27</v>
      </c>
      <c r="D19" s="9"/>
      <c r="E19" s="9"/>
      <c r="F19" s="9"/>
    </row>
    <row r="20" customFormat="false" ht="15" hidden="false" customHeight="true" outlineLevel="0" collapsed="false">
      <c r="A20" s="9"/>
      <c r="B20" s="17" t="s">
        <v>28</v>
      </c>
      <c r="C20" s="16" t="s">
        <v>29</v>
      </c>
      <c r="D20" s="9"/>
      <c r="E20" s="9"/>
      <c r="F20" s="9"/>
    </row>
    <row r="21" customFormat="false" ht="15" hidden="false" customHeight="true" outlineLevel="0" collapsed="false">
      <c r="A21" s="9"/>
      <c r="B21" s="17" t="s">
        <v>30</v>
      </c>
      <c r="C21" s="16" t="s">
        <v>31</v>
      </c>
      <c r="D21" s="9"/>
      <c r="E21" s="9"/>
      <c r="F21" s="9"/>
    </row>
    <row r="22" customFormat="false" ht="15" hidden="false" customHeight="true" outlineLevel="0" collapsed="false">
      <c r="A22" s="9"/>
      <c r="B22" s="17" t="s">
        <v>32</v>
      </c>
      <c r="C22" s="16" t="s">
        <v>33</v>
      </c>
      <c r="D22" s="9"/>
      <c r="E22" s="9"/>
      <c r="F22" s="9"/>
    </row>
    <row r="23" customFormat="false" ht="15" hidden="false" customHeight="true" outlineLevel="0" collapsed="false">
      <c r="A23" s="9"/>
      <c r="B23" s="17" t="s">
        <v>34</v>
      </c>
      <c r="C23" s="16" t="s">
        <v>35</v>
      </c>
      <c r="D23" s="9"/>
      <c r="E23" s="9"/>
      <c r="F23" s="9"/>
    </row>
    <row r="24" customFormat="false" ht="15" hidden="false" customHeight="true" outlineLevel="0" collapsed="false">
      <c r="A24" s="9"/>
      <c r="B24" s="17" t="s">
        <v>36</v>
      </c>
      <c r="C24" s="16" t="s">
        <v>37</v>
      </c>
      <c r="D24" s="9"/>
      <c r="E24" s="9"/>
      <c r="F24" s="9"/>
    </row>
    <row r="25" customFormat="false" ht="15" hidden="false" customHeight="true" outlineLevel="0" collapsed="false">
      <c r="A25" s="9"/>
      <c r="B25" s="17" t="s">
        <v>38</v>
      </c>
      <c r="C25" s="16" t="s">
        <v>39</v>
      </c>
      <c r="D25" s="9"/>
      <c r="E25" s="9"/>
      <c r="F25" s="9"/>
    </row>
    <row r="26" customFormat="false" ht="6.75" hidden="false" customHeight="true" outlineLevel="0" collapsed="false">
      <c r="A26" s="9"/>
      <c r="B26" s="9"/>
      <c r="C26" s="9"/>
      <c r="D26" s="9"/>
      <c r="E26" s="9"/>
      <c r="F26" s="9"/>
    </row>
    <row r="27" customFormat="false" ht="18.75" hidden="false" customHeight="true" outlineLevel="0" collapsed="false">
      <c r="A27" s="14" t="s">
        <v>40</v>
      </c>
      <c r="B27" s="14"/>
      <c r="C27" s="14"/>
      <c r="D27" s="9"/>
      <c r="E27" s="9"/>
      <c r="F27" s="9"/>
    </row>
    <row r="28" customFormat="false" ht="15" hidden="false" customHeight="true" outlineLevel="0" collapsed="false">
      <c r="A28" s="9"/>
      <c r="B28" s="18" t="s">
        <v>41</v>
      </c>
      <c r="C28" s="16" t="s">
        <v>42</v>
      </c>
      <c r="D28" s="9"/>
      <c r="E28" s="9"/>
      <c r="F28" s="9"/>
    </row>
    <row r="29" customFormat="false" ht="15" hidden="false" customHeight="true" outlineLevel="0" collapsed="false">
      <c r="A29" s="9"/>
      <c r="B29" s="19" t="s">
        <v>43</v>
      </c>
      <c r="C29" s="16" t="s">
        <v>44</v>
      </c>
      <c r="D29" s="9"/>
      <c r="E29" s="9"/>
      <c r="F29" s="9"/>
    </row>
    <row r="30" customFormat="false" ht="15" hidden="false" customHeight="true" outlineLevel="0" collapsed="false">
      <c r="A30" s="9"/>
      <c r="B30" s="20" t="s">
        <v>45</v>
      </c>
      <c r="C30" s="16" t="s">
        <v>46</v>
      </c>
      <c r="D30" s="9"/>
      <c r="E30" s="9"/>
      <c r="F30" s="9"/>
    </row>
    <row r="31" customFormat="false" ht="15" hidden="false" customHeight="true" outlineLevel="0" collapsed="false">
      <c r="A31" s="9"/>
      <c r="B31" s="21" t="s">
        <v>47</v>
      </c>
      <c r="C31" s="16" t="s">
        <v>48</v>
      </c>
      <c r="D31" s="9"/>
      <c r="E31" s="9"/>
      <c r="F31" s="9"/>
    </row>
    <row r="32" customFormat="false" ht="6.75" hidden="false" customHeight="true" outlineLevel="0" collapsed="false">
      <c r="A32" s="9"/>
      <c r="B32" s="9"/>
      <c r="C32" s="9"/>
      <c r="D32" s="9"/>
      <c r="E32" s="9"/>
      <c r="F32" s="9"/>
    </row>
    <row r="33" customFormat="false" ht="18.75" hidden="false" customHeight="true" outlineLevel="0" collapsed="false">
      <c r="A33" s="14" t="s">
        <v>49</v>
      </c>
      <c r="B33" s="14"/>
      <c r="C33" s="14"/>
      <c r="D33" s="9"/>
      <c r="E33" s="9"/>
      <c r="F33" s="9"/>
    </row>
    <row r="34" customFormat="false" ht="24" hidden="false" customHeight="true" outlineLevel="0" collapsed="false">
      <c r="A34" s="9"/>
      <c r="B34" s="15" t="s">
        <v>50</v>
      </c>
      <c r="C34" s="22" t="s">
        <v>51</v>
      </c>
      <c r="D34" s="9"/>
      <c r="E34" s="9"/>
      <c r="F34" s="9"/>
    </row>
    <row r="35" customFormat="false" ht="24" hidden="false" customHeight="true" outlineLevel="0" collapsed="false">
      <c r="A35" s="9"/>
      <c r="B35" s="15" t="s">
        <v>52</v>
      </c>
      <c r="C35" s="22" t="s">
        <v>53</v>
      </c>
      <c r="D35" s="9"/>
      <c r="E35" s="9"/>
      <c r="F35" s="9"/>
    </row>
    <row r="36" customFormat="false" ht="24" hidden="false" customHeight="true" outlineLevel="0" collapsed="false">
      <c r="A36" s="9"/>
      <c r="B36" s="15" t="s">
        <v>54</v>
      </c>
      <c r="C36" s="22" t="s">
        <v>55</v>
      </c>
      <c r="D36" s="9"/>
      <c r="E36" s="9"/>
      <c r="F36" s="9"/>
    </row>
    <row r="37" customFormat="false" ht="24" hidden="false" customHeight="true" outlineLevel="0" collapsed="false">
      <c r="A37" s="9"/>
      <c r="B37" s="15" t="s">
        <v>34</v>
      </c>
      <c r="C37" s="22" t="s">
        <v>56</v>
      </c>
      <c r="D37" s="9"/>
      <c r="E37" s="9"/>
      <c r="F37" s="9"/>
    </row>
    <row r="38" customFormat="false" ht="24" hidden="false" customHeight="true" outlineLevel="0" collapsed="false">
      <c r="A38" s="9"/>
      <c r="B38" s="15" t="s">
        <v>57</v>
      </c>
      <c r="C38" s="22" t="s">
        <v>58</v>
      </c>
      <c r="D38" s="9"/>
      <c r="E38" s="9"/>
      <c r="F38" s="9"/>
    </row>
    <row r="39" customFormat="false" ht="6.75" hidden="false" customHeight="true" outlineLevel="0" collapsed="false">
      <c r="A39" s="9"/>
      <c r="B39" s="9"/>
      <c r="C39" s="9"/>
      <c r="D39" s="9"/>
      <c r="E39" s="9"/>
      <c r="F39" s="9"/>
    </row>
    <row r="40" customFormat="false" ht="36" hidden="false" customHeight="true" outlineLevel="0" collapsed="false">
      <c r="A40" s="9"/>
      <c r="B40" s="9"/>
      <c r="C40" s="23" t="s">
        <v>59</v>
      </c>
      <c r="D40" s="9"/>
      <c r="E40" s="9"/>
      <c r="F40" s="9"/>
    </row>
    <row r="41" customFormat="false" ht="36" hidden="false" customHeight="true" outlineLevel="0" collapsed="false">
      <c r="A41" s="9"/>
      <c r="B41" s="9"/>
      <c r="C41" s="9"/>
      <c r="D41" s="9"/>
      <c r="E41" s="9"/>
      <c r="F41" s="9"/>
    </row>
    <row r="42" customFormat="false" ht="36" hidden="false" customHeight="true" outlineLevel="0" collapsed="false">
      <c r="A42" s="9"/>
      <c r="B42" s="9"/>
      <c r="C42" s="9"/>
      <c r="D42" s="9"/>
      <c r="E42" s="9"/>
      <c r="F42" s="9"/>
    </row>
    <row r="43" customFormat="false" ht="36" hidden="false" customHeight="true" outlineLevel="0" collapsed="false">
      <c r="A43" s="9"/>
      <c r="B43" s="9"/>
      <c r="C43" s="9"/>
      <c r="D43" s="9"/>
      <c r="E43" s="9"/>
      <c r="F43" s="9"/>
    </row>
    <row r="44" customFormat="false" ht="36" hidden="false" customHeight="true" outlineLevel="0" collapsed="false">
      <c r="A44" s="9"/>
      <c r="B44" s="9"/>
      <c r="C44" s="9"/>
      <c r="D44" s="9"/>
      <c r="E44" s="9"/>
      <c r="F44" s="9"/>
    </row>
    <row r="45" customFormat="false" ht="15" hidden="false" customHeight="true" outlineLevel="0" collapsed="false">
      <c r="A45" s="9"/>
      <c r="B45" s="9"/>
      <c r="C45" s="9"/>
      <c r="D45" s="9"/>
      <c r="E45" s="9"/>
      <c r="F45" s="9"/>
    </row>
    <row r="46" customFormat="false" ht="15" hidden="false" customHeight="true" outlineLevel="0" collapsed="false">
      <c r="A46" s="9"/>
      <c r="B46" s="9"/>
      <c r="C46" s="9"/>
      <c r="D46" s="9"/>
      <c r="E46" s="9"/>
      <c r="F46" s="9"/>
    </row>
    <row r="47" customFormat="false" ht="15" hidden="false" customHeight="true" outlineLevel="0" collapsed="false">
      <c r="A47" s="9"/>
      <c r="B47" s="9"/>
      <c r="C47" s="9"/>
      <c r="D47" s="9"/>
      <c r="E47" s="9"/>
      <c r="F47" s="9"/>
    </row>
    <row r="48" customFormat="false" ht="15" hidden="false" customHeight="true" outlineLevel="0" collapsed="false">
      <c r="A48" s="9"/>
      <c r="B48" s="9"/>
      <c r="C48" s="9"/>
      <c r="D48" s="9"/>
      <c r="E48" s="9"/>
      <c r="F48" s="9"/>
    </row>
    <row r="49" customFormat="false" ht="15" hidden="false" customHeight="true" outlineLevel="0" collapsed="false">
      <c r="A49" s="9"/>
      <c r="B49" s="9"/>
      <c r="C49" s="9"/>
      <c r="D49" s="9"/>
      <c r="E49" s="9"/>
      <c r="F49" s="9"/>
    </row>
    <row r="50" customFormat="false" ht="15" hidden="false" customHeight="true" outlineLevel="0" collapsed="false">
      <c r="A50" s="9"/>
      <c r="B50" s="9"/>
      <c r="C50" s="9"/>
      <c r="D50" s="9"/>
      <c r="E50" s="9"/>
      <c r="F50" s="9"/>
    </row>
    <row r="51" customFormat="false" ht="15" hidden="false" customHeight="true" outlineLevel="0" collapsed="false">
      <c r="A51" s="9"/>
      <c r="B51" s="9"/>
      <c r="C51" s="9"/>
      <c r="D51" s="9"/>
      <c r="E51" s="9"/>
      <c r="F51" s="9"/>
    </row>
    <row r="52" customFormat="false" ht="15" hidden="false" customHeight="true" outlineLevel="0" collapsed="false">
      <c r="A52" s="9"/>
      <c r="B52" s="9"/>
      <c r="C52" s="9"/>
      <c r="D52" s="9"/>
      <c r="E52" s="9"/>
      <c r="F52" s="9"/>
    </row>
    <row r="53" customFormat="false" ht="15" hidden="false" customHeight="true" outlineLevel="0" collapsed="false">
      <c r="A53" s="9"/>
      <c r="B53" s="9"/>
      <c r="C53" s="9"/>
      <c r="D53" s="9"/>
      <c r="E53" s="9"/>
      <c r="F53" s="9"/>
    </row>
    <row r="54" customFormat="false" ht="15" hidden="false" customHeight="true" outlineLevel="0" collapsed="false">
      <c r="A54" s="9"/>
      <c r="B54" s="9"/>
      <c r="C54" s="9"/>
      <c r="D54" s="9"/>
      <c r="E54" s="9"/>
      <c r="F54" s="9"/>
    </row>
    <row r="55" customFormat="false" ht="15" hidden="false" customHeight="true" outlineLevel="0" collapsed="false">
      <c r="A55" s="9"/>
      <c r="B55" s="9"/>
      <c r="C55" s="9"/>
      <c r="D55" s="9"/>
      <c r="E55" s="9"/>
      <c r="F55" s="9"/>
    </row>
    <row r="56" customFormat="false" ht="15" hidden="false" customHeight="true" outlineLevel="0" collapsed="false">
      <c r="A56" s="9"/>
      <c r="B56" s="9"/>
      <c r="C56" s="9"/>
      <c r="D56" s="9"/>
      <c r="E56" s="9"/>
      <c r="F56" s="9"/>
    </row>
    <row r="57" customFormat="false" ht="15" hidden="false" customHeight="true" outlineLevel="0" collapsed="false">
      <c r="A57" s="9"/>
      <c r="B57" s="9"/>
      <c r="C57" s="9"/>
      <c r="D57" s="9"/>
      <c r="E57" s="9"/>
      <c r="F57" s="9"/>
    </row>
    <row r="58" customFormat="false" ht="15" hidden="false" customHeight="true" outlineLevel="0" collapsed="false">
      <c r="A58" s="9"/>
      <c r="B58" s="9"/>
      <c r="C58" s="9"/>
      <c r="D58" s="9"/>
      <c r="E58" s="9"/>
      <c r="F58" s="9"/>
    </row>
    <row r="59" customFormat="false" ht="15" hidden="false" customHeight="true" outlineLevel="0" collapsed="false">
      <c r="A59" s="9"/>
      <c r="B59" s="9"/>
      <c r="C59" s="9"/>
      <c r="D59" s="9"/>
      <c r="E59" s="9"/>
      <c r="F59" s="9"/>
    </row>
    <row r="60" customFormat="false" ht="15" hidden="false" customHeight="true" outlineLevel="0" collapsed="false">
      <c r="A60" s="9"/>
      <c r="B60" s="9"/>
      <c r="C60" s="9"/>
      <c r="D60" s="9"/>
      <c r="E60" s="9"/>
      <c r="F60" s="9"/>
    </row>
  </sheetData>
  <hyperlinks>
    <hyperlink ref="B18" location="'Dashboard'!A1" display="Dashboard"/>
    <hyperlink ref="B19" location="'Management Insights'!A1" display="Management Insights"/>
    <hyperlink ref="B20" location="'13W Cash Flow'!A1" display="13W Cash Flow"/>
    <hyperlink ref="B21" location="'Channel Profitability'!A1" display="Channel Profitability"/>
    <hyperlink ref="B22" location="'Store Break-Even'!A1" display="Store Break-Even"/>
    <hyperlink ref="B23" location="'Scenarios'!A1" display="Scenarios"/>
    <hyperlink ref="B24" location="'Assumptions'!A1" display="Assumptions"/>
    <hyperlink ref="B25" location="'Controls'!A1" display="Controls"/>
  </hyperlinks>
  <printOptions headings="false" gridLines="false" gridLinesSet="true" horizontalCentered="false" verticalCentered="false"/>
  <pageMargins left="0.35" right="0.35" top="0.45" bottom="0.45" header="0.511811023622047" footer="0.25"/>
  <pageSetup paperSize="9" scale="100" fitToWidth="1" fitToHeight="1"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9A3E"/>
    <pageSetUpPr fitToPage="true"/>
  </sheetPr>
  <dimension ref="A1:O1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15"/>
    <col collapsed="false" customWidth="true" hidden="false" outlineLevel="0" max="3" min="3" style="1" width="12"/>
    <col collapsed="false" customWidth="true" hidden="false" outlineLevel="0" max="15" min="4" style="1" width="10.6"/>
    <col collapsed="false" customWidth="true" hidden="false" outlineLevel="0" max="17" min="16" style="1" width="13"/>
  </cols>
  <sheetData>
    <row r="1" customFormat="false" ht="22.5" hidden="false" customHeight="true" outlineLevel="0" collapsed="false">
      <c r="A1" s="2" t="s">
        <v>0</v>
      </c>
      <c r="B1" s="3"/>
      <c r="C1" s="3"/>
      <c r="D1" s="3"/>
      <c r="E1" s="3"/>
      <c r="F1" s="3"/>
      <c r="G1" s="3"/>
      <c r="H1" s="3"/>
      <c r="I1" s="3"/>
      <c r="J1" s="3"/>
      <c r="K1" s="3"/>
      <c r="L1" s="3"/>
      <c r="M1" s="3"/>
      <c r="N1" s="3"/>
      <c r="O1" s="4" t="s">
        <v>1</v>
      </c>
    </row>
    <row r="2" customFormat="false" ht="16.5" hidden="false" customHeight="true" outlineLevel="0" collapsed="false">
      <c r="A2" s="5" t="s">
        <v>60</v>
      </c>
      <c r="B2" s="6"/>
      <c r="C2" s="6"/>
      <c r="D2" s="6"/>
      <c r="E2" s="6"/>
      <c r="F2" s="6"/>
      <c r="G2" s="6"/>
      <c r="H2" s="6"/>
      <c r="I2" s="6"/>
      <c r="J2" s="6"/>
      <c r="K2" s="6"/>
      <c r="L2" s="6"/>
      <c r="M2" s="6"/>
      <c r="N2" s="6"/>
      <c r="O2" s="8" t="s">
        <v>61</v>
      </c>
    </row>
    <row r="3" customFormat="false" ht="15" hidden="false" customHeight="true" outlineLevel="0" collapsed="false">
      <c r="A3" s="3"/>
      <c r="B3" s="3"/>
      <c r="C3" s="3"/>
      <c r="D3" s="3"/>
      <c r="E3" s="3"/>
      <c r="F3" s="3"/>
      <c r="G3" s="3"/>
      <c r="H3" s="3"/>
      <c r="I3" s="3"/>
      <c r="J3" s="3"/>
      <c r="K3" s="3"/>
      <c r="L3" s="3"/>
      <c r="M3" s="3"/>
      <c r="N3" s="3"/>
      <c r="O3" s="3"/>
    </row>
    <row r="4" customFormat="false" ht="15.75" hidden="false" customHeight="true" outlineLevel="0" collapsed="false">
      <c r="A4" s="24" t="s">
        <v>62</v>
      </c>
      <c r="B4" s="25" t="s">
        <v>63</v>
      </c>
      <c r="C4" s="26" t="s">
        <v>64</v>
      </c>
      <c r="D4" s="26" t="s">
        <v>65</v>
      </c>
      <c r="E4" s="3"/>
      <c r="F4" s="3"/>
      <c r="G4" s="3"/>
      <c r="H4" s="3"/>
      <c r="I4" s="3"/>
      <c r="J4" s="3"/>
      <c r="K4" s="3"/>
      <c r="L4" s="3"/>
      <c r="M4" s="3"/>
      <c r="N4" s="3"/>
      <c r="O4" s="3"/>
    </row>
    <row r="5" customFormat="false" ht="6.75" hidden="false" customHeight="true" outlineLevel="0" collapsed="false">
      <c r="A5" s="3"/>
      <c r="B5" s="3"/>
      <c r="C5" s="3"/>
      <c r="D5" s="3"/>
      <c r="E5" s="3"/>
      <c r="F5" s="3"/>
      <c r="G5" s="3"/>
      <c r="H5" s="3"/>
      <c r="I5" s="3"/>
      <c r="J5" s="3"/>
      <c r="K5" s="3"/>
      <c r="L5" s="3"/>
      <c r="M5" s="3"/>
      <c r="N5" s="3"/>
      <c r="O5" s="3"/>
    </row>
    <row r="6" customFormat="false" ht="19.5" hidden="false" customHeight="true" outlineLevel="0" collapsed="false">
      <c r="A6" s="14" t="s">
        <v>66</v>
      </c>
      <c r="B6" s="14"/>
      <c r="C6" s="14"/>
      <c r="D6" s="14"/>
      <c r="E6" s="14"/>
      <c r="F6" s="14"/>
      <c r="G6" s="14"/>
      <c r="H6" s="14"/>
      <c r="I6" s="14"/>
      <c r="J6" s="14"/>
      <c r="K6" s="14"/>
      <c r="L6" s="14"/>
      <c r="M6" s="14"/>
      <c r="N6" s="14"/>
      <c r="O6" s="14"/>
    </row>
    <row r="7" customFormat="false" ht="15" hidden="false" customHeight="true" outlineLevel="0" collapsed="false">
      <c r="A7" s="27" t="s">
        <v>67</v>
      </c>
      <c r="B7" s="28" t="n">
        <v>46237</v>
      </c>
      <c r="C7" s="26" t="s">
        <v>68</v>
      </c>
      <c r="D7" s="23" t="s">
        <v>69</v>
      </c>
      <c r="E7" s="3"/>
      <c r="F7" s="3"/>
      <c r="G7" s="3"/>
      <c r="H7" s="3"/>
      <c r="I7" s="3"/>
      <c r="J7" s="3"/>
      <c r="K7" s="3"/>
      <c r="L7" s="3"/>
      <c r="M7" s="3"/>
      <c r="N7" s="3"/>
      <c r="O7" s="3"/>
    </row>
    <row r="8" customFormat="false" ht="15" hidden="false" customHeight="true" outlineLevel="0" collapsed="false">
      <c r="A8" s="27" t="s">
        <v>70</v>
      </c>
      <c r="B8" s="28" t="n">
        <v>46234</v>
      </c>
      <c r="C8" s="26" t="s">
        <v>68</v>
      </c>
      <c r="D8" s="23" t="s">
        <v>71</v>
      </c>
      <c r="E8" s="3"/>
      <c r="F8" s="3"/>
      <c r="G8" s="3"/>
      <c r="H8" s="3"/>
      <c r="I8" s="3"/>
      <c r="J8" s="3"/>
      <c r="K8" s="3"/>
      <c r="L8" s="3"/>
      <c r="M8" s="3"/>
      <c r="N8" s="3"/>
      <c r="O8" s="3"/>
    </row>
    <row r="9" customFormat="false" ht="15" hidden="false" customHeight="true" outlineLevel="0" collapsed="false">
      <c r="A9" s="27" t="s">
        <v>72</v>
      </c>
      <c r="B9" s="29" t="n">
        <v>4.33333333333333</v>
      </c>
      <c r="C9" s="26" t="s">
        <v>73</v>
      </c>
      <c r="D9" s="23" t="s">
        <v>74</v>
      </c>
      <c r="E9" s="3"/>
      <c r="F9" s="3"/>
      <c r="G9" s="3"/>
      <c r="H9" s="3"/>
      <c r="I9" s="3"/>
      <c r="J9" s="3"/>
      <c r="K9" s="3"/>
      <c r="L9" s="3"/>
      <c r="M9" s="3"/>
      <c r="N9" s="3"/>
      <c r="O9" s="3"/>
    </row>
    <row r="10" customFormat="false" ht="6.75" hidden="false" customHeight="true" outlineLevel="0" collapsed="false">
      <c r="A10" s="3"/>
      <c r="B10" s="3"/>
      <c r="C10" s="3"/>
      <c r="D10" s="3"/>
      <c r="E10" s="3"/>
      <c r="F10" s="3"/>
      <c r="G10" s="3"/>
      <c r="H10" s="3"/>
      <c r="I10" s="3"/>
      <c r="J10" s="3"/>
      <c r="K10" s="3"/>
      <c r="L10" s="3"/>
      <c r="M10" s="3"/>
      <c r="N10" s="3"/>
      <c r="O10" s="3"/>
    </row>
    <row r="11" customFormat="false" ht="19.5" hidden="false" customHeight="true" outlineLevel="0" collapsed="false">
      <c r="A11" s="14" t="s">
        <v>75</v>
      </c>
      <c r="B11" s="14"/>
      <c r="C11" s="14"/>
      <c r="D11" s="14"/>
      <c r="E11" s="14"/>
      <c r="F11" s="14"/>
      <c r="G11" s="14"/>
      <c r="H11" s="14"/>
      <c r="I11" s="14"/>
      <c r="J11" s="14"/>
      <c r="K11" s="14"/>
      <c r="L11" s="14"/>
      <c r="M11" s="14"/>
      <c r="N11" s="14"/>
      <c r="O11" s="14"/>
    </row>
    <row r="12" customFormat="false" ht="15" hidden="false" customHeight="true" outlineLevel="0" collapsed="false">
      <c r="A12" s="27" t="s">
        <v>76</v>
      </c>
      <c r="B12" s="30" t="n">
        <v>205000</v>
      </c>
      <c r="C12" s="26" t="s">
        <v>77</v>
      </c>
      <c r="D12" s="23" t="s">
        <v>78</v>
      </c>
      <c r="E12" s="3"/>
      <c r="F12" s="3"/>
      <c r="G12" s="3"/>
      <c r="H12" s="3"/>
      <c r="I12" s="3"/>
      <c r="J12" s="3"/>
      <c r="K12" s="3"/>
      <c r="L12" s="3"/>
      <c r="M12" s="3"/>
      <c r="N12" s="3"/>
      <c r="O12" s="3"/>
    </row>
    <row r="13" customFormat="false" ht="15" hidden="false" customHeight="true" outlineLevel="0" collapsed="false">
      <c r="A13" s="27" t="s">
        <v>79</v>
      </c>
      <c r="B13" s="30" t="n">
        <v>120000</v>
      </c>
      <c r="C13" s="26" t="s">
        <v>77</v>
      </c>
      <c r="D13" s="23" t="s">
        <v>80</v>
      </c>
      <c r="E13" s="3"/>
      <c r="F13" s="3"/>
      <c r="G13" s="3"/>
      <c r="H13" s="3"/>
      <c r="I13" s="3"/>
      <c r="J13" s="3"/>
      <c r="K13" s="3"/>
      <c r="L13" s="3"/>
      <c r="M13" s="3"/>
      <c r="N13" s="3"/>
      <c r="O13" s="3"/>
    </row>
    <row r="14" customFormat="false" ht="6.75" hidden="false" customHeight="true" outlineLevel="0" collapsed="false">
      <c r="A14" s="3"/>
      <c r="B14" s="3"/>
      <c r="C14" s="3"/>
      <c r="D14" s="3"/>
      <c r="E14" s="3"/>
      <c r="F14" s="3"/>
      <c r="G14" s="3"/>
      <c r="H14" s="3"/>
      <c r="I14" s="3"/>
      <c r="J14" s="3"/>
      <c r="K14" s="3"/>
      <c r="L14" s="3"/>
      <c r="M14" s="3"/>
      <c r="N14" s="3"/>
      <c r="O14" s="3"/>
    </row>
    <row r="15" customFormat="false" ht="19.5" hidden="false" customHeight="true" outlineLevel="0" collapsed="false">
      <c r="A15" s="14" t="s">
        <v>81</v>
      </c>
      <c r="B15" s="14"/>
      <c r="C15" s="14"/>
      <c r="D15" s="14"/>
      <c r="E15" s="14"/>
      <c r="F15" s="14"/>
      <c r="G15" s="14"/>
      <c r="H15" s="14"/>
      <c r="I15" s="14"/>
      <c r="J15" s="14"/>
      <c r="K15" s="14"/>
      <c r="L15" s="14"/>
      <c r="M15" s="14"/>
      <c r="N15" s="14"/>
      <c r="O15" s="14"/>
    </row>
    <row r="16" customFormat="false" ht="15" hidden="false" customHeight="true" outlineLevel="0" collapsed="false">
      <c r="A16" s="27" t="s">
        <v>82</v>
      </c>
      <c r="B16" s="30" t="n">
        <v>20300</v>
      </c>
      <c r="C16" s="26" t="s">
        <v>83</v>
      </c>
      <c r="D16" s="3"/>
      <c r="E16" s="3"/>
      <c r="F16" s="3"/>
      <c r="G16" s="3"/>
      <c r="H16" s="3"/>
      <c r="I16" s="3"/>
      <c r="J16" s="3"/>
      <c r="K16" s="3"/>
      <c r="L16" s="3"/>
      <c r="M16" s="3"/>
      <c r="N16" s="3"/>
      <c r="O16" s="3"/>
    </row>
    <row r="17" customFormat="false" ht="15" hidden="false" customHeight="true" outlineLevel="0" collapsed="false">
      <c r="A17" s="27" t="s">
        <v>84</v>
      </c>
      <c r="B17" s="30" t="n">
        <v>24500</v>
      </c>
      <c r="C17" s="26" t="s">
        <v>83</v>
      </c>
      <c r="D17" s="23" t="s">
        <v>85</v>
      </c>
      <c r="E17" s="3"/>
      <c r="F17" s="3"/>
      <c r="G17" s="3"/>
      <c r="H17" s="3"/>
      <c r="I17" s="3"/>
      <c r="J17" s="3"/>
      <c r="K17" s="3"/>
      <c r="L17" s="3"/>
      <c r="M17" s="3"/>
      <c r="N17" s="3"/>
      <c r="O17" s="3"/>
    </row>
    <row r="18" customFormat="false" ht="15" hidden="false" customHeight="true" outlineLevel="0" collapsed="false">
      <c r="A18" s="27" t="s">
        <v>86</v>
      </c>
      <c r="B18" s="30" t="n">
        <v>24000</v>
      </c>
      <c r="C18" s="26" t="s">
        <v>83</v>
      </c>
      <c r="D18" s="23" t="s">
        <v>87</v>
      </c>
      <c r="E18" s="3"/>
      <c r="F18" s="3"/>
      <c r="G18" s="3"/>
      <c r="H18" s="3"/>
      <c r="I18" s="3"/>
      <c r="J18" s="3"/>
      <c r="K18" s="3"/>
      <c r="L18" s="3"/>
      <c r="M18" s="3"/>
      <c r="N18" s="3"/>
      <c r="O18" s="3"/>
    </row>
    <row r="19" customFormat="false" ht="15" hidden="false" customHeight="true" outlineLevel="0" collapsed="false">
      <c r="A19" s="27" t="s">
        <v>88</v>
      </c>
      <c r="B19" s="30" t="n">
        <v>7850</v>
      </c>
      <c r="C19" s="26" t="s">
        <v>83</v>
      </c>
      <c r="D19" s="3"/>
      <c r="E19" s="3"/>
      <c r="F19" s="3"/>
      <c r="G19" s="3"/>
      <c r="H19" s="3"/>
      <c r="I19" s="3"/>
      <c r="J19" s="3"/>
      <c r="K19" s="3"/>
      <c r="L19" s="3"/>
      <c r="M19" s="3"/>
      <c r="N19" s="3"/>
      <c r="O19" s="3"/>
    </row>
    <row r="20" customFormat="false" ht="6.75" hidden="false" customHeight="true" outlineLevel="0" collapsed="false">
      <c r="A20" s="3"/>
      <c r="B20" s="3"/>
      <c r="C20" s="3"/>
      <c r="D20" s="3"/>
      <c r="E20" s="3"/>
      <c r="F20" s="3"/>
      <c r="G20" s="3"/>
      <c r="H20" s="3"/>
      <c r="I20" s="3"/>
      <c r="J20" s="3"/>
      <c r="K20" s="3"/>
      <c r="L20" s="3"/>
      <c r="M20" s="3"/>
      <c r="N20" s="3"/>
      <c r="O20" s="3"/>
    </row>
    <row r="21" customFormat="false" ht="19.5" hidden="false" customHeight="true" outlineLevel="0" collapsed="false">
      <c r="A21" s="14" t="s">
        <v>89</v>
      </c>
      <c r="B21" s="14"/>
      <c r="C21" s="14"/>
      <c r="D21" s="14"/>
      <c r="E21" s="14"/>
      <c r="F21" s="14"/>
      <c r="G21" s="14"/>
      <c r="H21" s="14"/>
      <c r="I21" s="14"/>
      <c r="J21" s="14"/>
      <c r="K21" s="14"/>
      <c r="L21" s="14"/>
      <c r="M21" s="14"/>
      <c r="N21" s="14"/>
      <c r="O21" s="14"/>
    </row>
    <row r="22" customFormat="false" ht="15" hidden="false" customHeight="true" outlineLevel="0" collapsed="false">
      <c r="A22" s="27" t="s">
        <v>90</v>
      </c>
      <c r="B22" s="31" t="n">
        <v>0.06</v>
      </c>
      <c r="C22" s="26" t="s">
        <v>91</v>
      </c>
      <c r="D22" s="3"/>
      <c r="E22" s="3"/>
      <c r="F22" s="3"/>
      <c r="G22" s="3"/>
      <c r="H22" s="3"/>
      <c r="I22" s="3"/>
      <c r="J22" s="3"/>
      <c r="K22" s="3"/>
      <c r="L22" s="3"/>
      <c r="M22" s="3"/>
      <c r="N22" s="3"/>
      <c r="O22" s="3"/>
    </row>
    <row r="23" customFormat="false" ht="15" hidden="false" customHeight="true" outlineLevel="0" collapsed="false">
      <c r="A23" s="27" t="s">
        <v>92</v>
      </c>
      <c r="B23" s="31" t="n">
        <v>0.12</v>
      </c>
      <c r="C23" s="26" t="s">
        <v>91</v>
      </c>
      <c r="D23" s="23" t="s">
        <v>93</v>
      </c>
      <c r="E23" s="3"/>
      <c r="F23" s="3"/>
      <c r="G23" s="3"/>
      <c r="H23" s="3"/>
      <c r="I23" s="3"/>
      <c r="J23" s="3"/>
      <c r="K23" s="3"/>
      <c r="L23" s="3"/>
      <c r="M23" s="3"/>
      <c r="N23" s="3"/>
      <c r="O23" s="3"/>
    </row>
    <row r="24" customFormat="false" ht="15" hidden="false" customHeight="true" outlineLevel="0" collapsed="false">
      <c r="A24" s="27" t="s">
        <v>94</v>
      </c>
      <c r="B24" s="31" t="n">
        <v>0.03</v>
      </c>
      <c r="C24" s="26" t="s">
        <v>91</v>
      </c>
      <c r="D24" s="3"/>
      <c r="E24" s="3"/>
      <c r="F24" s="3"/>
      <c r="G24" s="3"/>
      <c r="H24" s="3"/>
      <c r="I24" s="3"/>
      <c r="J24" s="3"/>
      <c r="K24" s="3"/>
      <c r="L24" s="3"/>
      <c r="M24" s="3"/>
      <c r="N24" s="3"/>
      <c r="O24" s="3"/>
    </row>
    <row r="25" customFormat="false" ht="15" hidden="false" customHeight="true" outlineLevel="0" collapsed="false">
      <c r="A25" s="27" t="s">
        <v>95</v>
      </c>
      <c r="B25" s="31" t="n">
        <v>0</v>
      </c>
      <c r="C25" s="26" t="s">
        <v>91</v>
      </c>
      <c r="D25" s="23" t="s">
        <v>96</v>
      </c>
      <c r="E25" s="3"/>
      <c r="F25" s="3"/>
      <c r="G25" s="3"/>
      <c r="H25" s="3"/>
      <c r="I25" s="3"/>
      <c r="J25" s="3"/>
      <c r="K25" s="3"/>
      <c r="L25" s="3"/>
      <c r="M25" s="3"/>
      <c r="N25" s="3"/>
      <c r="O25" s="3"/>
    </row>
    <row r="26" customFormat="false" ht="6.75" hidden="false" customHeight="true" outlineLevel="0" collapsed="false">
      <c r="A26" s="3"/>
      <c r="B26" s="3"/>
      <c r="C26" s="3"/>
      <c r="D26" s="3"/>
      <c r="E26" s="3"/>
      <c r="F26" s="3"/>
      <c r="G26" s="3"/>
      <c r="H26" s="3"/>
      <c r="I26" s="3"/>
      <c r="J26" s="3"/>
      <c r="K26" s="3"/>
      <c r="L26" s="3"/>
      <c r="M26" s="3"/>
      <c r="N26" s="3"/>
      <c r="O26" s="3"/>
    </row>
    <row r="27" customFormat="false" ht="15" hidden="false" customHeight="true" outlineLevel="0" collapsed="false">
      <c r="A27" s="27" t="s">
        <v>97</v>
      </c>
      <c r="B27" s="31" t="n">
        <v>0.58</v>
      </c>
      <c r="C27" s="26" t="s">
        <v>98</v>
      </c>
      <c r="D27" s="3"/>
      <c r="E27" s="3"/>
      <c r="F27" s="3"/>
      <c r="G27" s="3"/>
      <c r="H27" s="3"/>
      <c r="I27" s="3"/>
      <c r="J27" s="3"/>
      <c r="K27" s="3"/>
      <c r="L27" s="3"/>
      <c r="M27" s="3"/>
      <c r="N27" s="3"/>
      <c r="O27" s="3"/>
    </row>
    <row r="28" customFormat="false" ht="15" hidden="false" customHeight="true" outlineLevel="0" collapsed="false">
      <c r="A28" s="27" t="s">
        <v>99</v>
      </c>
      <c r="B28" s="31" t="n">
        <v>0.6</v>
      </c>
      <c r="C28" s="26" t="s">
        <v>98</v>
      </c>
      <c r="D28" s="3"/>
      <c r="E28" s="3"/>
      <c r="F28" s="3"/>
      <c r="G28" s="3"/>
      <c r="H28" s="3"/>
      <c r="I28" s="3"/>
      <c r="J28" s="3"/>
      <c r="K28" s="3"/>
      <c r="L28" s="3"/>
      <c r="M28" s="3"/>
      <c r="N28" s="3"/>
      <c r="O28" s="3"/>
    </row>
    <row r="29" customFormat="false" ht="15" hidden="false" customHeight="true" outlineLevel="0" collapsed="false">
      <c r="A29" s="27" t="s">
        <v>100</v>
      </c>
      <c r="B29" s="31" t="n">
        <v>0.64</v>
      </c>
      <c r="C29" s="26" t="s">
        <v>98</v>
      </c>
      <c r="D29" s="23" t="s">
        <v>101</v>
      </c>
      <c r="E29" s="3"/>
      <c r="F29" s="3"/>
      <c r="G29" s="3"/>
      <c r="H29" s="3"/>
      <c r="I29" s="3"/>
      <c r="J29" s="3"/>
      <c r="K29" s="3"/>
      <c r="L29" s="3"/>
      <c r="M29" s="3"/>
      <c r="N29" s="3"/>
      <c r="O29" s="3"/>
    </row>
    <row r="30" customFormat="false" ht="15" hidden="false" customHeight="true" outlineLevel="0" collapsed="false">
      <c r="A30" s="27" t="s">
        <v>102</v>
      </c>
      <c r="B30" s="31" t="n">
        <v>0.6</v>
      </c>
      <c r="C30" s="26" t="s">
        <v>98</v>
      </c>
      <c r="D30" s="3"/>
      <c r="E30" s="3"/>
      <c r="F30" s="3"/>
      <c r="G30" s="3"/>
      <c r="H30" s="3"/>
      <c r="I30" s="3"/>
      <c r="J30" s="3"/>
      <c r="K30" s="3"/>
      <c r="L30" s="3"/>
      <c r="M30" s="3"/>
      <c r="N30" s="3"/>
      <c r="O30" s="3"/>
    </row>
    <row r="31" customFormat="false" ht="6.75" hidden="false" customHeight="true" outlineLevel="0" collapsed="false">
      <c r="A31" s="3"/>
      <c r="B31" s="3"/>
      <c r="C31" s="3"/>
      <c r="D31" s="3"/>
      <c r="E31" s="3"/>
      <c r="F31" s="3"/>
      <c r="G31" s="3"/>
      <c r="H31" s="3"/>
      <c r="I31" s="3"/>
      <c r="J31" s="3"/>
      <c r="K31" s="3"/>
      <c r="L31" s="3"/>
      <c r="M31" s="3"/>
      <c r="N31" s="3"/>
      <c r="O31" s="3"/>
    </row>
    <row r="32" customFormat="false" ht="19.5" hidden="false" customHeight="true" outlineLevel="0" collapsed="false">
      <c r="A32" s="14" t="s">
        <v>103</v>
      </c>
      <c r="B32" s="14"/>
      <c r="C32" s="14"/>
      <c r="D32" s="14"/>
      <c r="E32" s="14"/>
      <c r="F32" s="14"/>
      <c r="G32" s="14"/>
      <c r="H32" s="14"/>
      <c r="I32" s="14"/>
      <c r="J32" s="14"/>
      <c r="K32" s="14"/>
      <c r="L32" s="14"/>
      <c r="M32" s="14"/>
      <c r="N32" s="14"/>
      <c r="O32" s="14"/>
    </row>
    <row r="33" customFormat="false" ht="15" hidden="false" customHeight="true" outlineLevel="0" collapsed="false">
      <c r="A33" s="27" t="s">
        <v>104</v>
      </c>
      <c r="B33" s="31" t="n">
        <v>0.018</v>
      </c>
      <c r="C33" s="26" t="s">
        <v>98</v>
      </c>
      <c r="D33" s="3"/>
      <c r="E33" s="3"/>
      <c r="F33" s="3"/>
      <c r="G33" s="3"/>
      <c r="H33" s="3"/>
      <c r="I33" s="3"/>
      <c r="J33" s="3"/>
      <c r="K33" s="3"/>
      <c r="L33" s="3"/>
      <c r="M33" s="3"/>
      <c r="N33" s="3"/>
      <c r="O33" s="3"/>
    </row>
    <row r="34" customFormat="false" ht="15" hidden="false" customHeight="true" outlineLevel="0" collapsed="false">
      <c r="A34" s="27" t="s">
        <v>105</v>
      </c>
      <c r="B34" s="31" t="n">
        <v>0.029</v>
      </c>
      <c r="C34" s="26" t="s">
        <v>98</v>
      </c>
      <c r="D34" s="3"/>
      <c r="E34" s="3"/>
      <c r="F34" s="3"/>
      <c r="G34" s="3"/>
      <c r="H34" s="3"/>
      <c r="I34" s="3"/>
      <c r="J34" s="3"/>
      <c r="K34" s="3"/>
      <c r="L34" s="3"/>
      <c r="M34" s="3"/>
      <c r="N34" s="3"/>
      <c r="O34" s="3"/>
    </row>
    <row r="35" customFormat="false" ht="15" hidden="false" customHeight="true" outlineLevel="0" collapsed="false">
      <c r="A35" s="27" t="s">
        <v>106</v>
      </c>
      <c r="B35" s="31" t="n">
        <v>0.019</v>
      </c>
      <c r="C35" s="26" t="s">
        <v>98</v>
      </c>
      <c r="D35" s="3"/>
      <c r="E35" s="3"/>
      <c r="F35" s="3"/>
      <c r="G35" s="3"/>
      <c r="H35" s="3"/>
      <c r="I35" s="3"/>
      <c r="J35" s="3"/>
      <c r="K35" s="3"/>
      <c r="L35" s="3"/>
      <c r="M35" s="3"/>
      <c r="N35" s="3"/>
      <c r="O35" s="3"/>
    </row>
    <row r="36" customFormat="false" ht="15" hidden="false" customHeight="true" outlineLevel="0" collapsed="false">
      <c r="A36" s="27" t="s">
        <v>107</v>
      </c>
      <c r="B36" s="31" t="n">
        <v>0.03</v>
      </c>
      <c r="C36" s="26" t="s">
        <v>98</v>
      </c>
      <c r="D36" s="23" t="s">
        <v>108</v>
      </c>
      <c r="E36" s="3"/>
      <c r="F36" s="3"/>
      <c r="G36" s="3"/>
      <c r="H36" s="3"/>
      <c r="I36" s="3"/>
      <c r="J36" s="3"/>
      <c r="K36" s="3"/>
      <c r="L36" s="3"/>
      <c r="M36" s="3"/>
      <c r="N36" s="3"/>
      <c r="O36" s="3"/>
    </row>
    <row r="37" customFormat="false" ht="15" hidden="false" customHeight="true" outlineLevel="0" collapsed="false">
      <c r="A37" s="27" t="s">
        <v>109</v>
      </c>
      <c r="B37" s="31" t="n">
        <v>0.008</v>
      </c>
      <c r="C37" s="26" t="s">
        <v>98</v>
      </c>
      <c r="D37" s="3"/>
      <c r="E37" s="3"/>
      <c r="F37" s="3"/>
      <c r="G37" s="3"/>
      <c r="H37" s="3"/>
      <c r="I37" s="3"/>
      <c r="J37" s="3"/>
      <c r="K37" s="3"/>
      <c r="L37" s="3"/>
      <c r="M37" s="3"/>
      <c r="N37" s="3"/>
      <c r="O37" s="3"/>
    </row>
    <row r="38" customFormat="false" ht="15" hidden="false" customHeight="true" outlineLevel="0" collapsed="false">
      <c r="A38" s="27" t="s">
        <v>110</v>
      </c>
      <c r="B38" s="31" t="n">
        <v>0.065</v>
      </c>
      <c r="C38" s="26" t="s">
        <v>98</v>
      </c>
      <c r="D38" s="3"/>
      <c r="E38" s="3"/>
      <c r="F38" s="3"/>
      <c r="G38" s="3"/>
      <c r="H38" s="3"/>
      <c r="I38" s="3"/>
      <c r="J38" s="3"/>
      <c r="K38" s="3"/>
      <c r="L38" s="3"/>
      <c r="M38" s="3"/>
      <c r="N38" s="3"/>
      <c r="O38" s="3"/>
    </row>
    <row r="39" customFormat="false" ht="15" hidden="false" customHeight="true" outlineLevel="0" collapsed="false">
      <c r="A39" s="27" t="s">
        <v>111</v>
      </c>
      <c r="B39" s="31" t="n">
        <v>0.09</v>
      </c>
      <c r="C39" s="26" t="s">
        <v>98</v>
      </c>
      <c r="D39" s="23" t="s">
        <v>112</v>
      </c>
      <c r="E39" s="3"/>
      <c r="F39" s="3"/>
      <c r="G39" s="3"/>
      <c r="H39" s="3"/>
      <c r="I39" s="3"/>
      <c r="J39" s="3"/>
      <c r="K39" s="3"/>
      <c r="L39" s="3"/>
      <c r="M39" s="3"/>
      <c r="N39" s="3"/>
      <c r="O39" s="3"/>
    </row>
    <row r="40" customFormat="false" ht="15" hidden="false" customHeight="true" outlineLevel="0" collapsed="false">
      <c r="A40" s="27" t="s">
        <v>113</v>
      </c>
      <c r="B40" s="31" t="n">
        <v>0.18</v>
      </c>
      <c r="C40" s="26" t="s">
        <v>98</v>
      </c>
      <c r="D40" s="3"/>
      <c r="E40" s="3"/>
      <c r="F40" s="3"/>
      <c r="G40" s="3"/>
      <c r="H40" s="3"/>
      <c r="I40" s="3"/>
      <c r="J40" s="3"/>
      <c r="K40" s="3"/>
      <c r="L40" s="3"/>
      <c r="M40" s="3"/>
      <c r="N40" s="3"/>
      <c r="O40" s="3"/>
    </row>
    <row r="41" customFormat="false" ht="15" hidden="false" customHeight="true" outlineLevel="0" collapsed="false">
      <c r="A41" s="27" t="s">
        <v>114</v>
      </c>
      <c r="B41" s="31" t="n">
        <v>0.3</v>
      </c>
      <c r="C41" s="26" t="s">
        <v>91</v>
      </c>
      <c r="D41" s="23" t="s">
        <v>115</v>
      </c>
      <c r="E41" s="3"/>
      <c r="F41" s="3"/>
      <c r="G41" s="3"/>
      <c r="H41" s="3"/>
      <c r="I41" s="3"/>
      <c r="J41" s="3"/>
      <c r="K41" s="3"/>
      <c r="L41" s="3"/>
      <c r="M41" s="3"/>
      <c r="N41" s="3"/>
      <c r="O41" s="3"/>
    </row>
    <row r="42" customFormat="false" ht="15" hidden="false" customHeight="true" outlineLevel="0" collapsed="false">
      <c r="A42" s="27" t="s">
        <v>116</v>
      </c>
      <c r="B42" s="31" t="n">
        <v>0.015</v>
      </c>
      <c r="C42" s="26" t="s">
        <v>98</v>
      </c>
      <c r="D42" s="3"/>
      <c r="E42" s="3"/>
      <c r="F42" s="3"/>
      <c r="G42" s="3"/>
      <c r="H42" s="3"/>
      <c r="I42" s="3"/>
      <c r="J42" s="3"/>
      <c r="K42" s="3"/>
      <c r="L42" s="3"/>
      <c r="M42" s="3"/>
      <c r="N42" s="3"/>
      <c r="O42" s="3"/>
    </row>
    <row r="43" customFormat="false" ht="6.75" hidden="false" customHeight="true" outlineLevel="0" collapsed="false">
      <c r="A43" s="3"/>
      <c r="B43" s="3"/>
      <c r="C43" s="3"/>
      <c r="D43" s="3"/>
      <c r="E43" s="3"/>
      <c r="F43" s="3"/>
      <c r="G43" s="3"/>
      <c r="H43" s="3"/>
      <c r="I43" s="3"/>
      <c r="J43" s="3"/>
      <c r="K43" s="3"/>
      <c r="L43" s="3"/>
      <c r="M43" s="3"/>
      <c r="N43" s="3"/>
      <c r="O43" s="3"/>
    </row>
    <row r="44" customFormat="false" ht="19.5" hidden="false" customHeight="true" outlineLevel="0" collapsed="false">
      <c r="A44" s="14" t="s">
        <v>117</v>
      </c>
      <c r="B44" s="14"/>
      <c r="C44" s="14"/>
      <c r="D44" s="14"/>
      <c r="E44" s="14"/>
      <c r="F44" s="14"/>
      <c r="G44" s="14"/>
      <c r="H44" s="14"/>
      <c r="I44" s="14"/>
      <c r="J44" s="14"/>
      <c r="K44" s="14"/>
      <c r="L44" s="14"/>
      <c r="M44" s="14"/>
      <c r="N44" s="14"/>
      <c r="O44" s="14"/>
    </row>
    <row r="45" customFormat="false" ht="15" hidden="false" customHeight="true" outlineLevel="0" collapsed="false">
      <c r="A45" s="27" t="s">
        <v>118</v>
      </c>
      <c r="B45" s="30" t="n">
        <v>22000</v>
      </c>
      <c r="C45" s="26" t="s">
        <v>119</v>
      </c>
      <c r="D45" s="23" t="s">
        <v>120</v>
      </c>
      <c r="E45" s="3"/>
      <c r="F45" s="3"/>
      <c r="G45" s="3"/>
      <c r="H45" s="3"/>
      <c r="I45" s="3"/>
      <c r="J45" s="3"/>
      <c r="K45" s="3"/>
      <c r="L45" s="3"/>
      <c r="M45" s="3"/>
      <c r="N45" s="3"/>
      <c r="O45" s="3"/>
    </row>
    <row r="46" customFormat="false" ht="15" hidden="false" customHeight="true" outlineLevel="0" collapsed="false">
      <c r="A46" s="27" t="s">
        <v>121</v>
      </c>
      <c r="B46" s="30" t="n">
        <v>18500</v>
      </c>
      <c r="C46" s="26" t="s">
        <v>119</v>
      </c>
      <c r="D46" s="3"/>
      <c r="E46" s="3"/>
      <c r="F46" s="3"/>
      <c r="G46" s="3"/>
      <c r="H46" s="3"/>
      <c r="I46" s="3"/>
      <c r="J46" s="3"/>
      <c r="K46" s="3"/>
      <c r="L46" s="3"/>
      <c r="M46" s="3"/>
      <c r="N46" s="3"/>
      <c r="O46" s="3"/>
    </row>
    <row r="47" customFormat="false" ht="15" hidden="false" customHeight="true" outlineLevel="0" collapsed="false">
      <c r="A47" s="27" t="s">
        <v>122</v>
      </c>
      <c r="B47" s="30" t="n">
        <v>2600</v>
      </c>
      <c r="C47" s="26" t="s">
        <v>119</v>
      </c>
      <c r="D47" s="3"/>
      <c r="E47" s="3"/>
      <c r="F47" s="3"/>
      <c r="G47" s="3"/>
      <c r="H47" s="3"/>
      <c r="I47" s="3"/>
      <c r="J47" s="3"/>
      <c r="K47" s="3"/>
      <c r="L47" s="3"/>
      <c r="M47" s="3"/>
      <c r="N47" s="3"/>
      <c r="O47" s="3"/>
    </row>
    <row r="48" customFormat="false" ht="15" hidden="false" customHeight="true" outlineLevel="0" collapsed="false">
      <c r="A48" s="27" t="s">
        <v>123</v>
      </c>
      <c r="B48" s="30" t="n">
        <v>450</v>
      </c>
      <c r="C48" s="26" t="s">
        <v>119</v>
      </c>
      <c r="D48" s="3"/>
      <c r="E48" s="3"/>
      <c r="F48" s="3"/>
      <c r="G48" s="3"/>
      <c r="H48" s="3"/>
      <c r="I48" s="3"/>
      <c r="J48" s="3"/>
      <c r="K48" s="3"/>
      <c r="L48" s="3"/>
      <c r="M48" s="3"/>
      <c r="N48" s="3"/>
      <c r="O48" s="3"/>
    </row>
    <row r="49" customFormat="false" ht="15" hidden="false" customHeight="true" outlineLevel="0" collapsed="false">
      <c r="A49" s="27" t="s">
        <v>124</v>
      </c>
      <c r="B49" s="30" t="n">
        <v>900</v>
      </c>
      <c r="C49" s="26" t="s">
        <v>119</v>
      </c>
      <c r="D49" s="3"/>
      <c r="E49" s="3"/>
      <c r="F49" s="3"/>
      <c r="G49" s="3"/>
      <c r="H49" s="3"/>
      <c r="I49" s="3"/>
      <c r="J49" s="3"/>
      <c r="K49" s="3"/>
      <c r="L49" s="3"/>
      <c r="M49" s="3"/>
      <c r="N49" s="3"/>
      <c r="O49" s="3"/>
    </row>
    <row r="50" customFormat="false" ht="15" hidden="false" customHeight="true" outlineLevel="0" collapsed="false">
      <c r="A50" s="32" t="s">
        <v>125</v>
      </c>
      <c r="B50" s="33" t="n">
        <f aca="false">SUM(B45:B49)</f>
        <v>44450</v>
      </c>
      <c r="C50" s="3"/>
      <c r="D50" s="3"/>
      <c r="E50" s="3"/>
      <c r="F50" s="3"/>
      <c r="G50" s="3"/>
      <c r="H50" s="3"/>
      <c r="I50" s="3"/>
      <c r="J50" s="3"/>
      <c r="K50" s="3"/>
      <c r="L50" s="3"/>
      <c r="M50" s="3"/>
      <c r="N50" s="3"/>
      <c r="O50" s="3"/>
    </row>
    <row r="51" customFormat="false" ht="6.75" hidden="false" customHeight="true" outlineLevel="0" collapsed="false">
      <c r="A51" s="3"/>
      <c r="B51" s="3"/>
      <c r="C51" s="3"/>
      <c r="D51" s="3"/>
      <c r="E51" s="3"/>
      <c r="F51" s="3"/>
      <c r="G51" s="3"/>
      <c r="H51" s="3"/>
      <c r="I51" s="3"/>
      <c r="J51" s="3"/>
      <c r="K51" s="3"/>
      <c r="L51" s="3"/>
      <c r="M51" s="3"/>
      <c r="N51" s="3"/>
      <c r="O51" s="3"/>
    </row>
    <row r="52" customFormat="false" ht="19.5" hidden="false" customHeight="true" outlineLevel="0" collapsed="false">
      <c r="A52" s="14" t="s">
        <v>126</v>
      </c>
      <c r="B52" s="14"/>
      <c r="C52" s="14"/>
      <c r="D52" s="14"/>
      <c r="E52" s="14"/>
      <c r="F52" s="14"/>
      <c r="G52" s="14"/>
      <c r="H52" s="14"/>
      <c r="I52" s="14"/>
      <c r="J52" s="14"/>
      <c r="K52" s="14"/>
      <c r="L52" s="14"/>
      <c r="M52" s="14"/>
      <c r="N52" s="14"/>
      <c r="O52" s="14"/>
    </row>
    <row r="53" customFormat="false" ht="15" hidden="false" customHeight="true" outlineLevel="0" collapsed="false">
      <c r="A53" s="27" t="s">
        <v>127</v>
      </c>
      <c r="B53" s="30" t="n">
        <v>1100</v>
      </c>
      <c r="C53" s="26" t="s">
        <v>119</v>
      </c>
      <c r="D53" s="3"/>
      <c r="E53" s="3"/>
      <c r="F53" s="3"/>
      <c r="G53" s="3"/>
      <c r="H53" s="3"/>
      <c r="I53" s="3"/>
      <c r="J53" s="3"/>
      <c r="K53" s="3"/>
      <c r="L53" s="3"/>
      <c r="M53" s="3"/>
      <c r="N53" s="3"/>
      <c r="O53" s="3"/>
    </row>
    <row r="54" customFormat="false" ht="15" hidden="false" customHeight="true" outlineLevel="0" collapsed="false">
      <c r="A54" s="27" t="s">
        <v>128</v>
      </c>
      <c r="B54" s="30" t="n">
        <v>5200</v>
      </c>
      <c r="C54" s="26" t="s">
        <v>119</v>
      </c>
      <c r="D54" s="3"/>
      <c r="E54" s="3"/>
      <c r="F54" s="3"/>
      <c r="G54" s="3"/>
      <c r="H54" s="3"/>
      <c r="I54" s="3"/>
      <c r="J54" s="3"/>
      <c r="K54" s="3"/>
      <c r="L54" s="3"/>
      <c r="M54" s="3"/>
      <c r="N54" s="3"/>
      <c r="O54" s="3"/>
    </row>
    <row r="55" customFormat="false" ht="15" hidden="false" customHeight="true" outlineLevel="0" collapsed="false">
      <c r="A55" s="32" t="s">
        <v>129</v>
      </c>
      <c r="B55" s="33" t="n">
        <f aca="false">SUM(B53:B54)</f>
        <v>6300</v>
      </c>
      <c r="C55" s="3"/>
      <c r="D55" s="3"/>
      <c r="E55" s="3"/>
      <c r="F55" s="3"/>
      <c r="G55" s="3"/>
      <c r="H55" s="3"/>
      <c r="I55" s="3"/>
      <c r="J55" s="3"/>
      <c r="K55" s="3"/>
      <c r="L55" s="3"/>
      <c r="M55" s="3"/>
      <c r="N55" s="3"/>
      <c r="O55" s="3"/>
    </row>
    <row r="56" customFormat="false" ht="6.75" hidden="false" customHeight="true" outlineLevel="0" collapsed="false">
      <c r="A56" s="3"/>
      <c r="B56" s="3"/>
      <c r="C56" s="3"/>
      <c r="D56" s="3"/>
      <c r="E56" s="3"/>
      <c r="F56" s="3"/>
      <c r="G56" s="3"/>
      <c r="H56" s="3"/>
      <c r="I56" s="3"/>
      <c r="J56" s="3"/>
      <c r="K56" s="3"/>
      <c r="L56" s="3"/>
      <c r="M56" s="3"/>
      <c r="N56" s="3"/>
      <c r="O56" s="3"/>
    </row>
    <row r="57" customFormat="false" ht="19.5" hidden="false" customHeight="true" outlineLevel="0" collapsed="false">
      <c r="A57" s="14" t="s">
        <v>130</v>
      </c>
      <c r="B57" s="14"/>
      <c r="C57" s="14"/>
      <c r="D57" s="14"/>
      <c r="E57" s="14"/>
      <c r="F57" s="14"/>
      <c r="G57" s="14"/>
      <c r="H57" s="14"/>
      <c r="I57" s="14"/>
      <c r="J57" s="14"/>
      <c r="K57" s="14"/>
      <c r="L57" s="14"/>
      <c r="M57" s="14"/>
      <c r="N57" s="14"/>
      <c r="O57" s="14"/>
    </row>
    <row r="58" customFormat="false" ht="15" hidden="false" customHeight="true" outlineLevel="0" collapsed="false">
      <c r="A58" s="27" t="s">
        <v>131</v>
      </c>
      <c r="B58" s="30" t="n">
        <v>21000</v>
      </c>
      <c r="C58" s="26" t="s">
        <v>119</v>
      </c>
      <c r="D58" s="3"/>
      <c r="E58" s="3"/>
      <c r="F58" s="3"/>
      <c r="G58" s="3"/>
      <c r="H58" s="3"/>
      <c r="I58" s="3"/>
      <c r="J58" s="3"/>
      <c r="K58" s="3"/>
      <c r="L58" s="3"/>
      <c r="M58" s="3"/>
      <c r="N58" s="3"/>
      <c r="O58" s="3"/>
    </row>
    <row r="59" customFormat="false" ht="15" hidden="false" customHeight="true" outlineLevel="0" collapsed="false">
      <c r="A59" s="27" t="s">
        <v>132</v>
      </c>
      <c r="B59" s="30" t="n">
        <v>1800</v>
      </c>
      <c r="C59" s="26" t="s">
        <v>119</v>
      </c>
      <c r="D59" s="3"/>
      <c r="E59" s="3"/>
      <c r="F59" s="3"/>
      <c r="G59" s="3"/>
      <c r="H59" s="3"/>
      <c r="I59" s="3"/>
      <c r="J59" s="3"/>
      <c r="K59" s="3"/>
      <c r="L59" s="3"/>
      <c r="M59" s="3"/>
      <c r="N59" s="3"/>
      <c r="O59" s="3"/>
    </row>
    <row r="60" customFormat="false" ht="15" hidden="false" customHeight="true" outlineLevel="0" collapsed="false">
      <c r="A60" s="27" t="s">
        <v>133</v>
      </c>
      <c r="B60" s="30" t="n">
        <v>900</v>
      </c>
      <c r="C60" s="26" t="s">
        <v>119</v>
      </c>
      <c r="D60" s="3"/>
      <c r="E60" s="3"/>
      <c r="F60" s="3"/>
      <c r="G60" s="3"/>
      <c r="H60" s="3"/>
      <c r="I60" s="3"/>
      <c r="J60" s="3"/>
      <c r="K60" s="3"/>
      <c r="L60" s="3"/>
      <c r="M60" s="3"/>
      <c r="N60" s="3"/>
      <c r="O60" s="3"/>
    </row>
    <row r="61" customFormat="false" ht="15" hidden="false" customHeight="true" outlineLevel="0" collapsed="false">
      <c r="A61" s="27" t="s">
        <v>134</v>
      </c>
      <c r="B61" s="30" t="n">
        <v>4500</v>
      </c>
      <c r="C61" s="26" t="s">
        <v>119</v>
      </c>
      <c r="D61" s="3"/>
      <c r="E61" s="3"/>
      <c r="F61" s="3"/>
      <c r="G61" s="3"/>
      <c r="H61" s="3"/>
      <c r="I61" s="3"/>
      <c r="J61" s="3"/>
      <c r="K61" s="3"/>
      <c r="L61" s="3"/>
      <c r="M61" s="3"/>
      <c r="N61" s="3"/>
      <c r="O61" s="3"/>
    </row>
    <row r="62" customFormat="false" ht="15" hidden="false" customHeight="true" outlineLevel="0" collapsed="false">
      <c r="A62" s="27" t="s">
        <v>135</v>
      </c>
      <c r="B62" s="30" t="n">
        <v>1500</v>
      </c>
      <c r="C62" s="26" t="s">
        <v>119</v>
      </c>
      <c r="D62" s="3"/>
      <c r="E62" s="3"/>
      <c r="F62" s="3"/>
      <c r="G62" s="3"/>
      <c r="H62" s="3"/>
      <c r="I62" s="3"/>
      <c r="J62" s="3"/>
      <c r="K62" s="3"/>
      <c r="L62" s="3"/>
      <c r="M62" s="3"/>
      <c r="N62" s="3"/>
      <c r="O62" s="3"/>
    </row>
    <row r="63" customFormat="false" ht="15" hidden="false" customHeight="true" outlineLevel="0" collapsed="false">
      <c r="A63" s="32" t="s">
        <v>136</v>
      </c>
      <c r="B63" s="33" t="n">
        <f aca="false">SUM(B58:B62)</f>
        <v>29700</v>
      </c>
      <c r="C63" s="3"/>
      <c r="D63" s="3"/>
      <c r="E63" s="3"/>
      <c r="F63" s="3"/>
      <c r="G63" s="3"/>
      <c r="H63" s="3"/>
      <c r="I63" s="3"/>
      <c r="J63" s="3"/>
      <c r="K63" s="3"/>
      <c r="L63" s="3"/>
      <c r="M63" s="3"/>
      <c r="N63" s="3"/>
      <c r="O63" s="3"/>
    </row>
    <row r="64" customFormat="false" ht="6.75" hidden="false" customHeight="true" outlineLevel="0" collapsed="false">
      <c r="A64" s="3"/>
      <c r="B64" s="3"/>
      <c r="C64" s="3"/>
      <c r="D64" s="3"/>
      <c r="E64" s="3"/>
      <c r="F64" s="3"/>
      <c r="G64" s="3"/>
      <c r="H64" s="3"/>
      <c r="I64" s="3"/>
      <c r="J64" s="3"/>
      <c r="K64" s="3"/>
      <c r="L64" s="3"/>
      <c r="M64" s="3"/>
      <c r="N64" s="3"/>
      <c r="O64" s="3"/>
    </row>
    <row r="65" customFormat="false" ht="19.5" hidden="false" customHeight="true" outlineLevel="0" collapsed="false">
      <c r="A65" s="14" t="s">
        <v>137</v>
      </c>
      <c r="B65" s="14"/>
      <c r="C65" s="14"/>
      <c r="D65" s="14"/>
      <c r="E65" s="14"/>
      <c r="F65" s="14"/>
      <c r="G65" s="14"/>
      <c r="H65" s="14"/>
      <c r="I65" s="14"/>
      <c r="J65" s="14"/>
      <c r="K65" s="14"/>
      <c r="L65" s="14"/>
      <c r="M65" s="14"/>
      <c r="N65" s="14"/>
      <c r="O65" s="14"/>
    </row>
    <row r="66" customFormat="false" ht="15" hidden="false" customHeight="true" outlineLevel="0" collapsed="false">
      <c r="A66" s="27" t="s">
        <v>138</v>
      </c>
      <c r="B66" s="31" t="n">
        <v>0.92</v>
      </c>
      <c r="C66" s="26" t="s">
        <v>139</v>
      </c>
      <c r="D66" s="23" t="s">
        <v>140</v>
      </c>
      <c r="E66" s="3"/>
      <c r="F66" s="3"/>
      <c r="G66" s="3"/>
      <c r="H66" s="3"/>
      <c r="I66" s="3"/>
      <c r="J66" s="3"/>
      <c r="K66" s="3"/>
      <c r="L66" s="3"/>
      <c r="M66" s="3"/>
      <c r="N66" s="3"/>
      <c r="O66" s="3"/>
    </row>
    <row r="67" customFormat="false" ht="15" hidden="false" customHeight="true" outlineLevel="0" collapsed="false">
      <c r="A67" s="27" t="s">
        <v>141</v>
      </c>
      <c r="B67" s="31" t="n">
        <v>0.85</v>
      </c>
      <c r="C67" s="26" t="s">
        <v>139</v>
      </c>
      <c r="D67" s="23" t="s">
        <v>142</v>
      </c>
      <c r="E67" s="3"/>
      <c r="F67" s="3"/>
      <c r="G67" s="3"/>
      <c r="H67" s="3"/>
      <c r="I67" s="3"/>
      <c r="J67" s="3"/>
      <c r="K67" s="3"/>
      <c r="L67" s="3"/>
      <c r="M67" s="3"/>
      <c r="N67" s="3"/>
      <c r="O67" s="3"/>
    </row>
    <row r="68" customFormat="false" ht="15" hidden="false" customHeight="true" outlineLevel="0" collapsed="false">
      <c r="A68" s="27" t="s">
        <v>143</v>
      </c>
      <c r="B68" s="31" t="n">
        <v>1</v>
      </c>
      <c r="C68" s="26" t="s">
        <v>139</v>
      </c>
      <c r="D68" s="23" t="s">
        <v>144</v>
      </c>
      <c r="E68" s="3"/>
      <c r="F68" s="3"/>
      <c r="G68" s="3"/>
      <c r="H68" s="3"/>
      <c r="I68" s="3"/>
      <c r="J68" s="3"/>
      <c r="K68" s="3"/>
      <c r="L68" s="3"/>
      <c r="M68" s="3"/>
      <c r="N68" s="3"/>
      <c r="O68" s="3"/>
    </row>
    <row r="69" customFormat="false" ht="15" hidden="false" customHeight="true" outlineLevel="0" collapsed="false">
      <c r="A69" s="27" t="s">
        <v>145</v>
      </c>
      <c r="B69" s="34" t="n">
        <v>4</v>
      </c>
      <c r="C69" s="26" t="s">
        <v>146</v>
      </c>
      <c r="D69" s="23" t="s">
        <v>147</v>
      </c>
      <c r="E69" s="3"/>
      <c r="F69" s="3"/>
      <c r="G69" s="3"/>
      <c r="H69" s="3"/>
      <c r="I69" s="3"/>
      <c r="J69" s="3"/>
      <c r="K69" s="3"/>
      <c r="L69" s="3"/>
      <c r="M69" s="3"/>
      <c r="N69" s="3"/>
      <c r="O69" s="3"/>
    </row>
    <row r="70" customFormat="false" ht="6.75" hidden="false" customHeight="true" outlineLevel="0" collapsed="false">
      <c r="A70" s="3"/>
      <c r="B70" s="3"/>
      <c r="C70" s="3"/>
      <c r="D70" s="3"/>
      <c r="E70" s="3"/>
      <c r="F70" s="3"/>
      <c r="G70" s="3"/>
      <c r="H70" s="3"/>
      <c r="I70" s="3"/>
      <c r="J70" s="3"/>
      <c r="K70" s="3"/>
      <c r="L70" s="3"/>
      <c r="M70" s="3"/>
      <c r="N70" s="3"/>
      <c r="O70" s="3"/>
    </row>
    <row r="71" customFormat="false" ht="15" hidden="false" customHeight="true" outlineLevel="0" collapsed="false">
      <c r="A71" s="27" t="s">
        <v>148</v>
      </c>
      <c r="B71" s="30" t="n">
        <v>1520</v>
      </c>
      <c r="C71" s="26" t="s">
        <v>77</v>
      </c>
      <c r="D71" s="3"/>
      <c r="E71" s="3"/>
      <c r="F71" s="3"/>
      <c r="G71" s="3"/>
      <c r="H71" s="3"/>
      <c r="I71" s="3"/>
      <c r="J71" s="3"/>
      <c r="K71" s="3"/>
      <c r="L71" s="3"/>
      <c r="M71" s="3"/>
      <c r="N71" s="3"/>
      <c r="O71" s="3"/>
    </row>
    <row r="72" customFormat="false" ht="15" hidden="false" customHeight="true" outlineLevel="0" collapsed="false">
      <c r="A72" s="27" t="s">
        <v>149</v>
      </c>
      <c r="B72" s="30" t="n">
        <v>3240</v>
      </c>
      <c r="C72" s="26" t="s">
        <v>77</v>
      </c>
      <c r="D72" s="3"/>
      <c r="E72" s="3"/>
      <c r="F72" s="3"/>
      <c r="G72" s="3"/>
      <c r="H72" s="3"/>
      <c r="I72" s="3"/>
      <c r="J72" s="3"/>
      <c r="K72" s="3"/>
      <c r="L72" s="3"/>
      <c r="M72" s="3"/>
      <c r="N72" s="3"/>
      <c r="O72" s="3"/>
    </row>
    <row r="73" customFormat="false" ht="15" hidden="false" customHeight="true" outlineLevel="0" collapsed="false">
      <c r="A73" s="27" t="s">
        <v>150</v>
      </c>
      <c r="B73" s="35" t="n">
        <f aca="false">Assumptions!$B$19*Assumptions!$B$69*(1-Assumptions!$B$41)</f>
        <v>21980</v>
      </c>
      <c r="C73" s="26" t="s">
        <v>77</v>
      </c>
      <c r="D73" s="23" t="s">
        <v>151</v>
      </c>
      <c r="E73" s="3"/>
      <c r="F73" s="3"/>
      <c r="G73" s="3"/>
      <c r="H73" s="3"/>
      <c r="I73" s="3"/>
      <c r="J73" s="3"/>
      <c r="K73" s="3"/>
      <c r="L73" s="3"/>
      <c r="M73" s="3"/>
      <c r="N73" s="3"/>
      <c r="O73" s="3"/>
    </row>
    <row r="74" customFormat="false" ht="6.75" hidden="false" customHeight="true" outlineLevel="0" collapsed="false">
      <c r="A74" s="3"/>
      <c r="B74" s="3"/>
      <c r="C74" s="3"/>
      <c r="D74" s="3"/>
      <c r="E74" s="3"/>
      <c r="F74" s="3"/>
      <c r="G74" s="3"/>
      <c r="H74" s="3"/>
      <c r="I74" s="3"/>
      <c r="J74" s="3"/>
      <c r="K74" s="3"/>
      <c r="L74" s="3"/>
      <c r="M74" s="3"/>
      <c r="N74" s="3"/>
      <c r="O74" s="3"/>
    </row>
    <row r="75" customFormat="false" ht="15" hidden="false" customHeight="true" outlineLevel="0" collapsed="false">
      <c r="A75" s="27" t="s">
        <v>152</v>
      </c>
      <c r="B75" s="31" t="n">
        <v>0.58</v>
      </c>
      <c r="C75" s="26" t="s">
        <v>153</v>
      </c>
      <c r="D75" s="23" t="s">
        <v>154</v>
      </c>
      <c r="E75" s="3"/>
      <c r="F75" s="3"/>
      <c r="G75" s="3"/>
      <c r="H75" s="3"/>
      <c r="I75" s="3"/>
      <c r="J75" s="3"/>
      <c r="K75" s="3"/>
      <c r="L75" s="3"/>
      <c r="M75" s="3"/>
      <c r="N75" s="3"/>
      <c r="O75" s="3"/>
    </row>
    <row r="76" customFormat="false" ht="6.75" hidden="false" customHeight="true" outlineLevel="0" collapsed="false">
      <c r="A76" s="3"/>
      <c r="B76" s="3"/>
      <c r="C76" s="3"/>
      <c r="D76" s="3"/>
      <c r="E76" s="3"/>
      <c r="F76" s="3"/>
      <c r="G76" s="3"/>
      <c r="H76" s="3"/>
      <c r="I76" s="3"/>
      <c r="J76" s="3"/>
      <c r="K76" s="3"/>
      <c r="L76" s="3"/>
      <c r="M76" s="3"/>
      <c r="N76" s="3"/>
      <c r="O76" s="3"/>
    </row>
    <row r="77" customFormat="false" ht="19.5" hidden="false" customHeight="true" outlineLevel="0" collapsed="false">
      <c r="A77" s="14" t="s">
        <v>155</v>
      </c>
      <c r="B77" s="14"/>
      <c r="C77" s="14"/>
      <c r="D77" s="14"/>
      <c r="E77" s="14"/>
      <c r="F77" s="14"/>
      <c r="G77" s="14"/>
      <c r="H77" s="14"/>
      <c r="I77" s="14"/>
      <c r="J77" s="14"/>
      <c r="K77" s="14"/>
      <c r="L77" s="14"/>
      <c r="M77" s="14"/>
      <c r="N77" s="14"/>
      <c r="O77" s="14"/>
    </row>
    <row r="78" customFormat="false" ht="15" hidden="false" customHeight="true" outlineLevel="0" collapsed="false">
      <c r="A78" s="27" t="s">
        <v>156</v>
      </c>
      <c r="B78" s="34" t="n">
        <v>1</v>
      </c>
      <c r="C78" s="26" t="s">
        <v>157</v>
      </c>
      <c r="D78" s="3"/>
      <c r="E78" s="3"/>
      <c r="F78" s="3"/>
      <c r="G78" s="3"/>
      <c r="H78" s="3"/>
      <c r="I78" s="3"/>
      <c r="J78" s="3"/>
      <c r="K78" s="3"/>
      <c r="L78" s="3"/>
      <c r="M78" s="3"/>
      <c r="N78" s="3"/>
      <c r="O78" s="3"/>
    </row>
    <row r="79" customFormat="false" ht="15" hidden="false" customHeight="true" outlineLevel="0" collapsed="false">
      <c r="A79" s="27" t="s">
        <v>158</v>
      </c>
      <c r="B79" s="34" t="n">
        <v>5</v>
      </c>
      <c r="C79" s="26" t="s">
        <v>157</v>
      </c>
      <c r="D79" s="3"/>
      <c r="E79" s="3"/>
      <c r="F79" s="3"/>
      <c r="G79" s="3"/>
      <c r="H79" s="3"/>
      <c r="I79" s="3"/>
      <c r="J79" s="3"/>
      <c r="K79" s="3"/>
      <c r="L79" s="3"/>
      <c r="M79" s="3"/>
      <c r="N79" s="3"/>
      <c r="O79" s="3"/>
    </row>
    <row r="80" customFormat="false" ht="15" hidden="false" customHeight="true" outlineLevel="0" collapsed="false">
      <c r="A80" s="27" t="s">
        <v>159</v>
      </c>
      <c r="B80" s="34" t="n">
        <v>10</v>
      </c>
      <c r="C80" s="26" t="s">
        <v>157</v>
      </c>
      <c r="D80" s="3"/>
      <c r="E80" s="3"/>
      <c r="F80" s="3"/>
      <c r="G80" s="3"/>
      <c r="H80" s="3"/>
      <c r="I80" s="3"/>
      <c r="J80" s="3"/>
      <c r="K80" s="3"/>
      <c r="L80" s="3"/>
      <c r="M80" s="3"/>
      <c r="N80" s="3"/>
      <c r="O80" s="3"/>
    </row>
    <row r="81" customFormat="false" ht="15" hidden="false" customHeight="true" outlineLevel="0" collapsed="false">
      <c r="A81" s="27" t="s">
        <v>160</v>
      </c>
      <c r="B81" s="34" t="n">
        <v>15</v>
      </c>
      <c r="C81" s="26" t="s">
        <v>157</v>
      </c>
      <c r="D81" s="3"/>
      <c r="E81" s="3"/>
      <c r="F81" s="3"/>
      <c r="G81" s="3"/>
      <c r="H81" s="3"/>
      <c r="I81" s="3"/>
      <c r="J81" s="3"/>
      <c r="K81" s="3"/>
      <c r="L81" s="3"/>
      <c r="M81" s="3"/>
      <c r="N81" s="3"/>
      <c r="O81" s="3"/>
    </row>
    <row r="82" customFormat="false" ht="15" hidden="false" customHeight="true" outlineLevel="0" collapsed="false">
      <c r="A82" s="27" t="s">
        <v>161</v>
      </c>
      <c r="B82" s="34" t="n">
        <v>20</v>
      </c>
      <c r="C82" s="26" t="s">
        <v>157</v>
      </c>
      <c r="D82" s="3"/>
      <c r="E82" s="3"/>
      <c r="F82" s="3"/>
      <c r="G82" s="3"/>
      <c r="H82" s="3"/>
      <c r="I82" s="3"/>
      <c r="J82" s="3"/>
      <c r="K82" s="3"/>
      <c r="L82" s="3"/>
      <c r="M82" s="3"/>
      <c r="N82" s="3"/>
      <c r="O82" s="3"/>
    </row>
    <row r="83" customFormat="false" ht="15" hidden="false" customHeight="true" outlineLevel="0" collapsed="false">
      <c r="A83" s="27" t="s">
        <v>162</v>
      </c>
      <c r="B83" s="36" t="s">
        <v>163</v>
      </c>
      <c r="C83" s="3"/>
      <c r="D83" s="23" t="s">
        <v>164</v>
      </c>
      <c r="E83" s="3"/>
      <c r="F83" s="3"/>
      <c r="G83" s="3"/>
      <c r="H83" s="3"/>
      <c r="I83" s="3"/>
      <c r="J83" s="3"/>
      <c r="K83" s="3"/>
      <c r="L83" s="3"/>
      <c r="M83" s="3"/>
      <c r="N83" s="3"/>
      <c r="O83" s="3"/>
    </row>
    <row r="84" customFormat="false" ht="6.75" hidden="false" customHeight="true" outlineLevel="0" collapsed="false">
      <c r="A84" s="3"/>
      <c r="B84" s="3"/>
      <c r="C84" s="3"/>
      <c r="D84" s="3"/>
      <c r="E84" s="3"/>
      <c r="F84" s="3"/>
      <c r="G84" s="3"/>
      <c r="H84" s="3"/>
      <c r="I84" s="3"/>
      <c r="J84" s="3"/>
      <c r="K84" s="3"/>
      <c r="L84" s="3"/>
      <c r="M84" s="3"/>
      <c r="N84" s="3"/>
      <c r="O84" s="3"/>
    </row>
    <row r="85" customFormat="false" ht="19.5" hidden="false" customHeight="true" outlineLevel="0" collapsed="false">
      <c r="A85" s="14" t="s">
        <v>165</v>
      </c>
      <c r="B85" s="14"/>
      <c r="C85" s="14"/>
      <c r="D85" s="14"/>
      <c r="E85" s="14"/>
      <c r="F85" s="14"/>
      <c r="G85" s="14"/>
      <c r="H85" s="14"/>
      <c r="I85" s="14"/>
      <c r="J85" s="14"/>
      <c r="K85" s="14"/>
      <c r="L85" s="14"/>
      <c r="M85" s="14"/>
      <c r="N85" s="14"/>
      <c r="O85" s="14"/>
    </row>
    <row r="86" customFormat="false" ht="15" hidden="false" customHeight="true" outlineLevel="0" collapsed="false">
      <c r="A86" s="27" t="s">
        <v>166</v>
      </c>
      <c r="B86" s="30" t="n">
        <v>4200</v>
      </c>
      <c r="C86" s="26" t="s">
        <v>119</v>
      </c>
      <c r="D86" s="3"/>
      <c r="E86" s="3"/>
      <c r="F86" s="3"/>
      <c r="G86" s="3"/>
      <c r="H86" s="3"/>
      <c r="I86" s="3"/>
      <c r="J86" s="3"/>
      <c r="K86" s="3"/>
      <c r="L86" s="3"/>
      <c r="M86" s="3"/>
      <c r="N86" s="3"/>
      <c r="O86" s="3"/>
    </row>
    <row r="87" customFormat="false" ht="15" hidden="false" customHeight="true" outlineLevel="0" collapsed="false">
      <c r="A87" s="27" t="s">
        <v>167</v>
      </c>
      <c r="B87" s="30" t="n">
        <v>26500</v>
      </c>
      <c r="C87" s="26" t="s">
        <v>77</v>
      </c>
      <c r="D87" s="23" t="s">
        <v>168</v>
      </c>
      <c r="E87" s="3"/>
      <c r="F87" s="3"/>
      <c r="G87" s="3"/>
      <c r="H87" s="3"/>
      <c r="I87" s="3"/>
      <c r="J87" s="3"/>
      <c r="K87" s="3"/>
      <c r="L87" s="3"/>
      <c r="M87" s="3"/>
      <c r="N87" s="3"/>
      <c r="O87" s="3"/>
    </row>
    <row r="88" customFormat="false" ht="15" hidden="false" customHeight="true" outlineLevel="0" collapsed="false">
      <c r="A88" s="27" t="s">
        <v>169</v>
      </c>
      <c r="B88" s="34" t="n">
        <v>9</v>
      </c>
      <c r="C88" s="26" t="s">
        <v>170</v>
      </c>
      <c r="D88" s="3"/>
      <c r="E88" s="3"/>
      <c r="F88" s="3"/>
      <c r="G88" s="3"/>
      <c r="H88" s="3"/>
      <c r="I88" s="3"/>
      <c r="J88" s="3"/>
      <c r="K88" s="3"/>
      <c r="L88" s="3"/>
      <c r="M88" s="3"/>
      <c r="N88" s="3"/>
      <c r="O88" s="3"/>
    </row>
    <row r="89" customFormat="false" ht="6.75" hidden="false" customHeight="true" outlineLevel="0" collapsed="false">
      <c r="A89" s="3"/>
      <c r="B89" s="3"/>
      <c r="C89" s="3"/>
      <c r="D89" s="3"/>
      <c r="E89" s="3"/>
      <c r="F89" s="3"/>
      <c r="G89" s="3"/>
      <c r="H89" s="3"/>
      <c r="I89" s="3"/>
      <c r="J89" s="3"/>
      <c r="K89" s="3"/>
      <c r="L89" s="3"/>
      <c r="M89" s="3"/>
      <c r="N89" s="3"/>
      <c r="O89" s="3"/>
    </row>
    <row r="90" customFormat="false" ht="19.5" hidden="false" customHeight="true" outlineLevel="0" collapsed="false">
      <c r="A90" s="14" t="s">
        <v>171</v>
      </c>
      <c r="B90" s="14"/>
      <c r="C90" s="14"/>
      <c r="D90" s="14"/>
      <c r="E90" s="14"/>
      <c r="F90" s="14"/>
      <c r="G90" s="14"/>
      <c r="H90" s="14"/>
      <c r="I90" s="14"/>
      <c r="J90" s="14"/>
      <c r="K90" s="14"/>
      <c r="L90" s="14"/>
      <c r="M90" s="14"/>
      <c r="N90" s="14"/>
      <c r="O90" s="14"/>
    </row>
    <row r="91" customFormat="false" ht="15" hidden="false" customHeight="true" outlineLevel="0" collapsed="false">
      <c r="A91" s="27" t="s">
        <v>172</v>
      </c>
      <c r="B91" s="35" t="n">
        <f aca="false">Assumptions!$B$58+Assumptions!$B$54</f>
        <v>26200</v>
      </c>
      <c r="C91" s="26" t="s">
        <v>119</v>
      </c>
      <c r="D91" s="23" t="s">
        <v>173</v>
      </c>
      <c r="E91" s="3"/>
      <c r="F91" s="3"/>
      <c r="G91" s="3"/>
      <c r="H91" s="3"/>
      <c r="I91" s="3"/>
      <c r="J91" s="3"/>
      <c r="K91" s="3"/>
      <c r="L91" s="3"/>
      <c r="M91" s="3"/>
      <c r="N91" s="3"/>
      <c r="O91" s="3"/>
    </row>
    <row r="92" customFormat="false" ht="15" hidden="false" customHeight="true" outlineLevel="0" collapsed="false">
      <c r="A92" s="27" t="s">
        <v>174</v>
      </c>
      <c r="B92" s="35" t="n">
        <f aca="false">Assumptions!$B$48+Assumptions!$B$53+Assumptions!$B$60</f>
        <v>2450</v>
      </c>
      <c r="C92" s="26" t="s">
        <v>119</v>
      </c>
      <c r="D92" s="23" t="s">
        <v>175</v>
      </c>
      <c r="E92" s="3"/>
      <c r="F92" s="3"/>
      <c r="G92" s="3"/>
      <c r="H92" s="3"/>
      <c r="I92" s="3"/>
      <c r="J92" s="3"/>
      <c r="K92" s="3"/>
      <c r="L92" s="3"/>
      <c r="M92" s="3"/>
      <c r="N92" s="3"/>
      <c r="O92" s="3"/>
    </row>
    <row r="93" customFormat="false" ht="15" hidden="false" customHeight="true" outlineLevel="0" collapsed="false">
      <c r="A93" s="27" t="s">
        <v>176</v>
      </c>
      <c r="B93" s="35" t="n">
        <f aca="false">Assumptions!$B$49+Assumptions!$B$62</f>
        <v>2400</v>
      </c>
      <c r="C93" s="26" t="s">
        <v>119</v>
      </c>
      <c r="D93" s="23" t="s">
        <v>177</v>
      </c>
      <c r="E93" s="3"/>
      <c r="F93" s="3"/>
      <c r="G93" s="3"/>
      <c r="H93" s="3"/>
      <c r="I93" s="3"/>
      <c r="J93" s="3"/>
      <c r="K93" s="3"/>
      <c r="L93" s="3"/>
      <c r="M93" s="3"/>
      <c r="N93" s="3"/>
      <c r="O93" s="3"/>
    </row>
    <row r="94" customFormat="false" ht="15" hidden="false" customHeight="true" outlineLevel="0" collapsed="false">
      <c r="A94" s="27" t="s">
        <v>178</v>
      </c>
      <c r="B94" s="35" t="n">
        <f aca="false">Assumptions!$B$50+Assumptions!$B$55+Assumptions!$B$63</f>
        <v>80450</v>
      </c>
      <c r="C94" s="26" t="s">
        <v>119</v>
      </c>
      <c r="D94" s="3"/>
      <c r="E94" s="3"/>
      <c r="F94" s="3"/>
      <c r="G94" s="3"/>
      <c r="H94" s="3"/>
      <c r="I94" s="3"/>
      <c r="J94" s="3"/>
      <c r="K94" s="3"/>
      <c r="L94" s="3"/>
      <c r="M94" s="3"/>
      <c r="N94" s="3"/>
      <c r="O94" s="3"/>
    </row>
    <row r="95" customFormat="false" ht="6.75" hidden="false" customHeight="true" outlineLevel="0" collapsed="false">
      <c r="A95" s="3"/>
      <c r="B95" s="3"/>
      <c r="C95" s="3"/>
      <c r="D95" s="3"/>
      <c r="E95" s="3"/>
      <c r="F95" s="3"/>
      <c r="G95" s="3"/>
      <c r="H95" s="3"/>
      <c r="I95" s="3"/>
      <c r="J95" s="3"/>
      <c r="K95" s="3"/>
      <c r="L95" s="3"/>
      <c r="M95" s="3"/>
      <c r="N95" s="3"/>
      <c r="O95" s="3"/>
    </row>
    <row r="96" customFormat="false" ht="19.5" hidden="false" customHeight="true" outlineLevel="0" collapsed="false">
      <c r="A96" s="14" t="s">
        <v>179</v>
      </c>
      <c r="B96" s="14"/>
      <c r="C96" s="14"/>
      <c r="D96" s="14"/>
      <c r="E96" s="14"/>
      <c r="F96" s="14"/>
      <c r="G96" s="14"/>
      <c r="H96" s="14"/>
      <c r="I96" s="14"/>
      <c r="J96" s="14"/>
      <c r="K96" s="14"/>
      <c r="L96" s="14"/>
      <c r="M96" s="14"/>
      <c r="N96" s="14"/>
      <c r="O96" s="14"/>
    </row>
    <row r="97" customFormat="false" ht="15" hidden="false" customHeight="true" outlineLevel="0" collapsed="false">
      <c r="A97" s="37" t="s">
        <v>180</v>
      </c>
      <c r="B97" s="38"/>
      <c r="C97" s="39" t="s">
        <v>181</v>
      </c>
      <c r="D97" s="40" t="s">
        <v>182</v>
      </c>
      <c r="E97" s="41" t="s">
        <v>183</v>
      </c>
      <c r="F97" s="41" t="s">
        <v>184</v>
      </c>
      <c r="G97" s="41" t="s">
        <v>185</v>
      </c>
      <c r="H97" s="41" t="s">
        <v>186</v>
      </c>
      <c r="I97" s="42" t="s">
        <v>187</v>
      </c>
      <c r="J97" s="42" t="s">
        <v>188</v>
      </c>
      <c r="K97" s="3"/>
      <c r="L97" s="3"/>
      <c r="M97" s="3"/>
      <c r="N97" s="3"/>
      <c r="O97" s="3"/>
    </row>
    <row r="98" customFormat="false" ht="15" hidden="false" customHeight="true" outlineLevel="0" collapsed="false">
      <c r="A98" s="27" t="s">
        <v>189</v>
      </c>
      <c r="B98" s="3"/>
      <c r="C98" s="30" t="n">
        <v>96500</v>
      </c>
      <c r="D98" s="30" t="n">
        <v>84200</v>
      </c>
      <c r="E98" s="30" t="n">
        <v>80900</v>
      </c>
      <c r="F98" s="30" t="n">
        <v>87600</v>
      </c>
      <c r="G98" s="30" t="n">
        <v>92400</v>
      </c>
      <c r="H98" s="30" t="n">
        <v>86400</v>
      </c>
      <c r="I98" s="35" t="n">
        <f aca="false">SUM(C98:H98)</f>
        <v>528000</v>
      </c>
      <c r="J98" s="35" t="n">
        <f aca="false">I98/6</f>
        <v>88000</v>
      </c>
      <c r="K98" s="3"/>
      <c r="L98" s="3"/>
      <c r="M98" s="3"/>
      <c r="N98" s="3"/>
      <c r="O98" s="3"/>
    </row>
    <row r="99" customFormat="false" ht="15" hidden="false" customHeight="true" outlineLevel="0" collapsed="false">
      <c r="A99" s="27" t="s">
        <v>190</v>
      </c>
      <c r="B99" s="3"/>
      <c r="C99" s="30" t="n">
        <v>84000</v>
      </c>
      <c r="D99" s="30" t="n">
        <v>88500</v>
      </c>
      <c r="E99" s="30" t="n">
        <v>91000</v>
      </c>
      <c r="F99" s="30" t="n">
        <v>96000</v>
      </c>
      <c r="G99" s="30" t="n">
        <v>104500</v>
      </c>
      <c r="H99" s="30" t="n">
        <v>106000</v>
      </c>
      <c r="I99" s="35" t="n">
        <f aca="false">SUM(C99:H99)</f>
        <v>570000</v>
      </c>
      <c r="J99" s="35" t="n">
        <f aca="false">I99/6</f>
        <v>95000</v>
      </c>
      <c r="K99" s="3"/>
      <c r="L99" s="3"/>
      <c r="M99" s="3"/>
      <c r="N99" s="3"/>
      <c r="O99" s="3"/>
    </row>
    <row r="100" customFormat="false" ht="15" hidden="false" customHeight="true" outlineLevel="0" collapsed="false">
      <c r="A100" s="27" t="s">
        <v>191</v>
      </c>
      <c r="B100" s="3"/>
      <c r="C100" s="30" t="n">
        <v>41000</v>
      </c>
      <c r="D100" s="30" t="n">
        <v>0</v>
      </c>
      <c r="E100" s="30" t="n">
        <v>26500</v>
      </c>
      <c r="F100" s="30" t="n">
        <v>0</v>
      </c>
      <c r="G100" s="30" t="n">
        <v>58000</v>
      </c>
      <c r="H100" s="30" t="n">
        <v>54500</v>
      </c>
      <c r="I100" s="35" t="n">
        <f aca="false">SUM(C100:H100)</f>
        <v>180000</v>
      </c>
      <c r="J100" s="35" t="n">
        <f aca="false">I100/6</f>
        <v>30000</v>
      </c>
      <c r="K100" s="3"/>
      <c r="L100" s="3"/>
      <c r="M100" s="3"/>
      <c r="N100" s="3"/>
      <c r="O100" s="3"/>
    </row>
    <row r="101" customFormat="false" ht="15" hidden="false" customHeight="true" outlineLevel="0" collapsed="false">
      <c r="A101" s="27" t="s">
        <v>192</v>
      </c>
      <c r="B101" s="3"/>
      <c r="C101" s="30" t="n">
        <v>36800</v>
      </c>
      <c r="D101" s="30" t="n">
        <v>31200</v>
      </c>
      <c r="E101" s="30" t="n">
        <v>29900</v>
      </c>
      <c r="F101" s="30" t="n">
        <v>33400</v>
      </c>
      <c r="G101" s="30" t="n">
        <v>36100</v>
      </c>
      <c r="H101" s="30" t="n">
        <v>36600</v>
      </c>
      <c r="I101" s="35" t="n">
        <f aca="false">SUM(C101:H101)</f>
        <v>204000</v>
      </c>
      <c r="J101" s="35" t="n">
        <f aca="false">I101/6</f>
        <v>34000</v>
      </c>
      <c r="K101" s="3"/>
      <c r="L101" s="3"/>
      <c r="M101" s="3"/>
      <c r="N101" s="3"/>
      <c r="O101" s="3"/>
    </row>
    <row r="102" customFormat="false" ht="15" hidden="false" customHeight="true" outlineLevel="0" collapsed="false">
      <c r="A102" s="32" t="s">
        <v>193</v>
      </c>
      <c r="B102" s="3"/>
      <c r="C102" s="43" t="n">
        <f aca="false">SUM(C98:C101)</f>
        <v>258300</v>
      </c>
      <c r="D102" s="44" t="n">
        <f aca="false">SUM(D98:D101)</f>
        <v>203900</v>
      </c>
      <c r="E102" s="45" t="n">
        <f aca="false">SUM(E98:E101)</f>
        <v>228300</v>
      </c>
      <c r="F102" s="45" t="n">
        <f aca="false">SUM(F98:F101)</f>
        <v>217000</v>
      </c>
      <c r="G102" s="45" t="n">
        <f aca="false">SUM(G98:G101)</f>
        <v>291000</v>
      </c>
      <c r="H102" s="45" t="n">
        <f aca="false">SUM(H98:H101)</f>
        <v>283500</v>
      </c>
      <c r="I102" s="45" t="n">
        <f aca="false">SUM(I98:I101)</f>
        <v>1482000</v>
      </c>
      <c r="J102" s="45" t="n">
        <f aca="false">SUM(J98:J101)</f>
        <v>247000</v>
      </c>
      <c r="K102" s="3"/>
      <c r="L102" s="3"/>
      <c r="M102" s="3"/>
      <c r="N102" s="3"/>
      <c r="O102" s="3"/>
    </row>
    <row r="103" customFormat="false" ht="15" hidden="false" customHeight="true" outlineLevel="0" collapsed="false">
      <c r="A103" s="46" t="s">
        <v>194</v>
      </c>
      <c r="B103" s="3"/>
      <c r="C103" s="3"/>
      <c r="D103" s="3"/>
      <c r="E103" s="3"/>
      <c r="F103" s="3"/>
      <c r="G103" s="3"/>
      <c r="H103" s="3"/>
      <c r="I103" s="3"/>
      <c r="J103" s="3"/>
      <c r="K103" s="3"/>
      <c r="L103" s="3"/>
      <c r="M103" s="3"/>
      <c r="N103" s="3"/>
      <c r="O103" s="3"/>
    </row>
    <row r="104" customFormat="false" ht="6.75" hidden="false" customHeight="true" outlineLevel="0" collapsed="false">
      <c r="A104" s="3"/>
      <c r="B104" s="3"/>
      <c r="C104" s="3"/>
      <c r="D104" s="3"/>
      <c r="E104" s="3"/>
      <c r="F104" s="3"/>
      <c r="G104" s="3"/>
      <c r="H104" s="3"/>
      <c r="I104" s="3"/>
      <c r="J104" s="3"/>
      <c r="K104" s="3"/>
      <c r="L104" s="3"/>
      <c r="M104" s="3"/>
      <c r="N104" s="3"/>
      <c r="O104" s="3"/>
    </row>
    <row r="105" customFormat="false" ht="19.5" hidden="false" customHeight="true" outlineLevel="0" collapsed="false">
      <c r="A105" s="14" t="s">
        <v>195</v>
      </c>
      <c r="B105" s="14"/>
      <c r="C105" s="14"/>
      <c r="D105" s="14"/>
      <c r="E105" s="14"/>
      <c r="F105" s="14"/>
      <c r="G105" s="14"/>
      <c r="H105" s="14"/>
      <c r="I105" s="14"/>
      <c r="J105" s="14"/>
      <c r="K105" s="14"/>
      <c r="L105" s="14"/>
      <c r="M105" s="14"/>
      <c r="N105" s="14"/>
      <c r="O105" s="14"/>
    </row>
    <row r="106" customFormat="false" ht="15" hidden="false" customHeight="true" outlineLevel="0" collapsed="false">
      <c r="A106" s="37" t="s">
        <v>196</v>
      </c>
      <c r="B106" s="47" t="s">
        <v>197</v>
      </c>
      <c r="C106" s="39" t="s">
        <v>198</v>
      </c>
      <c r="D106" s="40" t="s">
        <v>199</v>
      </c>
      <c r="E106" s="41" t="s">
        <v>200</v>
      </c>
      <c r="F106" s="41" t="s">
        <v>201</v>
      </c>
      <c r="G106" s="41" t="s">
        <v>202</v>
      </c>
      <c r="H106" s="41" t="s">
        <v>203</v>
      </c>
      <c r="I106" s="41" t="s">
        <v>204</v>
      </c>
      <c r="J106" s="41" t="s">
        <v>205</v>
      </c>
      <c r="K106" s="41" t="s">
        <v>206</v>
      </c>
      <c r="L106" s="41" t="s">
        <v>207</v>
      </c>
      <c r="M106" s="41" t="s">
        <v>208</v>
      </c>
      <c r="N106" s="41" t="s">
        <v>209</v>
      </c>
      <c r="O106" s="41" t="s">
        <v>210</v>
      </c>
    </row>
    <row r="107" customFormat="false" ht="15" hidden="false" customHeight="true" outlineLevel="0" collapsed="false">
      <c r="A107" s="27" t="s">
        <v>211</v>
      </c>
      <c r="B107" s="48" t="n">
        <f aca="false">AVERAGE(C107:O107)</f>
        <v>1.00615384615385</v>
      </c>
      <c r="C107" s="49" t="n">
        <v>0.95</v>
      </c>
      <c r="D107" s="49" t="n">
        <v>1.08</v>
      </c>
      <c r="E107" s="49" t="n">
        <v>0.92</v>
      </c>
      <c r="F107" s="49" t="n">
        <v>0.9</v>
      </c>
      <c r="G107" s="49" t="n">
        <v>0.93</v>
      </c>
      <c r="H107" s="49" t="n">
        <v>0.97</v>
      </c>
      <c r="I107" s="49" t="n">
        <v>1</v>
      </c>
      <c r="J107" s="49" t="n">
        <v>1.02</v>
      </c>
      <c r="K107" s="49" t="n">
        <v>0.98</v>
      </c>
      <c r="L107" s="49" t="n">
        <v>1.03</v>
      </c>
      <c r="M107" s="49" t="n">
        <v>1.06</v>
      </c>
      <c r="N107" s="49" t="n">
        <v>1.1</v>
      </c>
      <c r="O107" s="49" t="n">
        <v>1.14</v>
      </c>
    </row>
    <row r="108" customFormat="false" ht="15" hidden="false" customHeight="true" outlineLevel="0" collapsed="false">
      <c r="A108" s="27" t="s">
        <v>212</v>
      </c>
      <c r="B108" s="48" t="n">
        <f aca="false">AVERAGE(C108:O108)</f>
        <v>1.04923076923077</v>
      </c>
      <c r="C108" s="49" t="n">
        <v>0.97</v>
      </c>
      <c r="D108" s="49" t="n">
        <v>1.05</v>
      </c>
      <c r="E108" s="49" t="n">
        <v>0.96</v>
      </c>
      <c r="F108" s="49" t="n">
        <v>0.95</v>
      </c>
      <c r="G108" s="49" t="n">
        <v>0.99</v>
      </c>
      <c r="H108" s="49" t="n">
        <v>1.02</v>
      </c>
      <c r="I108" s="49" t="n">
        <v>1.04</v>
      </c>
      <c r="J108" s="49" t="n">
        <v>1.06</v>
      </c>
      <c r="K108" s="49" t="n">
        <v>1.05</v>
      </c>
      <c r="L108" s="49" t="n">
        <v>1.08</v>
      </c>
      <c r="M108" s="49" t="n">
        <v>1.12</v>
      </c>
      <c r="N108" s="49" t="n">
        <v>1.15</v>
      </c>
      <c r="O108" s="49" t="n">
        <v>1.2</v>
      </c>
    </row>
    <row r="109" customFormat="false" ht="15" hidden="false" customHeight="true" outlineLevel="0" collapsed="false">
      <c r="A109" s="27" t="s">
        <v>213</v>
      </c>
      <c r="B109" s="48" t="n">
        <f aca="false">AVERAGE(C109:O109)</f>
        <v>0.330769230769231</v>
      </c>
      <c r="C109" s="49" t="n">
        <v>0</v>
      </c>
      <c r="D109" s="49" t="n">
        <v>1</v>
      </c>
      <c r="E109" s="49" t="n">
        <v>0</v>
      </c>
      <c r="F109" s="49" t="n">
        <v>0</v>
      </c>
      <c r="G109" s="49" t="n">
        <v>0</v>
      </c>
      <c r="H109" s="49" t="n">
        <v>0</v>
      </c>
      <c r="I109" s="49" t="n">
        <v>0.8</v>
      </c>
      <c r="J109" s="49" t="n">
        <v>0</v>
      </c>
      <c r="K109" s="49" t="n">
        <v>0</v>
      </c>
      <c r="L109" s="49" t="n">
        <v>0</v>
      </c>
      <c r="M109" s="49" t="n">
        <v>1.4</v>
      </c>
      <c r="N109" s="49" t="n">
        <v>0</v>
      </c>
      <c r="O109" s="49" t="n">
        <v>1.1</v>
      </c>
    </row>
    <row r="110" customFormat="false" ht="15" hidden="false" customHeight="true" outlineLevel="0" collapsed="false">
      <c r="A110" s="27" t="s">
        <v>214</v>
      </c>
      <c r="B110" s="48" t="n">
        <f aca="false">AVERAGE(C110:O110)</f>
        <v>1.01769230769231</v>
      </c>
      <c r="C110" s="49" t="n">
        <v>0.96</v>
      </c>
      <c r="D110" s="49" t="n">
        <v>1</v>
      </c>
      <c r="E110" s="49" t="n">
        <v>0.95</v>
      </c>
      <c r="F110" s="49" t="n">
        <v>0.94</v>
      </c>
      <c r="G110" s="49" t="n">
        <v>0.97</v>
      </c>
      <c r="H110" s="49" t="n">
        <v>1</v>
      </c>
      <c r="I110" s="49" t="n">
        <v>1.02</v>
      </c>
      <c r="J110" s="49" t="n">
        <v>1.03</v>
      </c>
      <c r="K110" s="49" t="n">
        <v>1.01</v>
      </c>
      <c r="L110" s="49" t="n">
        <v>1.05</v>
      </c>
      <c r="M110" s="49" t="n">
        <v>1.08</v>
      </c>
      <c r="N110" s="49" t="n">
        <v>1.1</v>
      </c>
      <c r="O110" s="49" t="n">
        <v>1.12</v>
      </c>
    </row>
    <row r="111" customFormat="false" ht="15" hidden="false" customHeight="true" outlineLevel="0" collapsed="false">
      <c r="A111" s="46" t="s">
        <v>215</v>
      </c>
      <c r="B111" s="3"/>
      <c r="C111" s="3"/>
      <c r="D111" s="3"/>
      <c r="E111" s="3"/>
      <c r="F111" s="3"/>
      <c r="G111" s="3"/>
      <c r="H111" s="3"/>
      <c r="I111" s="3"/>
      <c r="J111" s="3"/>
      <c r="K111" s="3"/>
      <c r="L111" s="3"/>
      <c r="M111" s="3"/>
      <c r="N111" s="3"/>
      <c r="O111" s="3"/>
    </row>
    <row r="112" customFormat="false" ht="6.75" hidden="false" customHeight="true" outlineLevel="0" collapsed="false">
      <c r="A112" s="3"/>
      <c r="B112" s="3"/>
      <c r="C112" s="3"/>
      <c r="D112" s="3"/>
      <c r="E112" s="3"/>
      <c r="F112" s="3"/>
      <c r="G112" s="3"/>
      <c r="H112" s="3"/>
      <c r="I112" s="3"/>
      <c r="J112" s="3"/>
      <c r="K112" s="3"/>
      <c r="L112" s="3"/>
      <c r="M112" s="3"/>
      <c r="N112" s="3"/>
      <c r="O112" s="3"/>
    </row>
    <row r="113" customFormat="false" ht="19.5" hidden="false" customHeight="true" outlineLevel="0" collapsed="false">
      <c r="A113" s="14" t="s">
        <v>216</v>
      </c>
      <c r="B113" s="14"/>
      <c r="C113" s="14"/>
      <c r="D113" s="14"/>
      <c r="E113" s="14"/>
      <c r="F113" s="14"/>
      <c r="G113" s="14"/>
      <c r="H113" s="14"/>
      <c r="I113" s="14"/>
      <c r="J113" s="14"/>
      <c r="K113" s="14"/>
      <c r="L113" s="14"/>
      <c r="M113" s="14"/>
      <c r="N113" s="14"/>
      <c r="O113" s="14"/>
    </row>
    <row r="114" customFormat="false" ht="15" hidden="false" customHeight="true" outlineLevel="0" collapsed="false">
      <c r="A114" s="37" t="s">
        <v>217</v>
      </c>
      <c r="B114" s="47" t="s">
        <v>218</v>
      </c>
      <c r="C114" s="39" t="s">
        <v>219</v>
      </c>
      <c r="D114" s="3"/>
      <c r="E114" s="3"/>
      <c r="F114" s="3"/>
      <c r="G114" s="3"/>
      <c r="H114" s="3"/>
      <c r="I114" s="3"/>
      <c r="J114" s="3"/>
      <c r="K114" s="3"/>
      <c r="L114" s="3"/>
      <c r="M114" s="3"/>
      <c r="N114" s="3"/>
      <c r="O114" s="3"/>
    </row>
    <row r="115" customFormat="false" ht="15" hidden="false" customHeight="true" outlineLevel="0" collapsed="false">
      <c r="A115" s="27" t="s">
        <v>220</v>
      </c>
      <c r="B115" s="30" t="n">
        <v>54000</v>
      </c>
      <c r="C115" s="50" t="n">
        <v>2</v>
      </c>
      <c r="D115" s="3"/>
      <c r="E115" s="3"/>
      <c r="F115" s="3"/>
      <c r="G115" s="3"/>
      <c r="H115" s="3"/>
      <c r="I115" s="3"/>
      <c r="J115" s="3"/>
      <c r="K115" s="3"/>
      <c r="L115" s="3"/>
      <c r="M115" s="3"/>
      <c r="N115" s="3"/>
      <c r="O115" s="3"/>
    </row>
    <row r="116" customFormat="false" ht="15" hidden="false" customHeight="true" outlineLevel="0" collapsed="false">
      <c r="A116" s="27" t="s">
        <v>221</v>
      </c>
      <c r="B116" s="30" t="n">
        <v>46000</v>
      </c>
      <c r="C116" s="50" t="n">
        <v>5</v>
      </c>
      <c r="D116" s="3"/>
      <c r="E116" s="3"/>
      <c r="F116" s="3"/>
      <c r="G116" s="3"/>
      <c r="H116" s="3"/>
      <c r="I116" s="3"/>
      <c r="J116" s="3"/>
      <c r="K116" s="3"/>
      <c r="L116" s="3"/>
      <c r="M116" s="3"/>
      <c r="N116" s="3"/>
      <c r="O116" s="3"/>
    </row>
    <row r="117" customFormat="false" ht="15" hidden="false" customHeight="true" outlineLevel="0" collapsed="false">
      <c r="A117" s="27" t="s">
        <v>222</v>
      </c>
      <c r="B117" s="30" t="n">
        <v>82000</v>
      </c>
      <c r="C117" s="50" t="n">
        <v>8</v>
      </c>
      <c r="D117" s="3"/>
      <c r="E117" s="3"/>
      <c r="F117" s="3"/>
      <c r="G117" s="3"/>
      <c r="H117" s="3"/>
      <c r="I117" s="3"/>
      <c r="J117" s="3"/>
      <c r="K117" s="3"/>
      <c r="L117" s="3"/>
      <c r="M117" s="3"/>
      <c r="N117" s="3"/>
      <c r="O117" s="3"/>
    </row>
    <row r="118" customFormat="false" ht="15" hidden="false" customHeight="true" outlineLevel="0" collapsed="false">
      <c r="A118" s="27" t="s">
        <v>223</v>
      </c>
      <c r="B118" s="30" t="n">
        <v>53000</v>
      </c>
      <c r="C118" s="50" t="n">
        <v>11</v>
      </c>
      <c r="D118" s="3"/>
      <c r="E118" s="3"/>
      <c r="F118" s="3"/>
      <c r="G118" s="3"/>
      <c r="H118" s="3"/>
      <c r="I118" s="3"/>
      <c r="J118" s="3"/>
      <c r="K118" s="3"/>
      <c r="L118" s="3"/>
      <c r="M118" s="3"/>
      <c r="N118" s="3"/>
      <c r="O118" s="3"/>
    </row>
    <row r="119" customFormat="false" ht="15" hidden="false" customHeight="true" outlineLevel="0" collapsed="false">
      <c r="A119" s="32" t="s">
        <v>224</v>
      </c>
      <c r="B119" s="33" t="n">
        <f aca="false">SUM(B115:B118)</f>
        <v>235000</v>
      </c>
      <c r="C119" s="3"/>
      <c r="D119" s="3"/>
      <c r="E119" s="3"/>
      <c r="F119" s="3"/>
      <c r="G119" s="3"/>
      <c r="H119" s="3"/>
      <c r="I119" s="3"/>
      <c r="J119" s="3"/>
      <c r="K119" s="3"/>
      <c r="L119" s="3"/>
      <c r="M119" s="3"/>
      <c r="N119" s="3"/>
      <c r="O119" s="3"/>
    </row>
    <row r="120" customFormat="false" ht="15" hidden="false" customHeight="true" outlineLevel="0" collapsed="false">
      <c r="A120" s="46" t="s">
        <v>225</v>
      </c>
      <c r="B120" s="3"/>
      <c r="C120" s="3"/>
      <c r="D120" s="3"/>
      <c r="E120" s="3"/>
      <c r="F120" s="3"/>
      <c r="G120" s="3"/>
      <c r="H120" s="3"/>
      <c r="I120" s="3"/>
      <c r="J120" s="3"/>
      <c r="K120" s="3"/>
      <c r="L120" s="3"/>
      <c r="M120" s="3"/>
      <c r="N120" s="3"/>
      <c r="O120" s="3"/>
    </row>
    <row r="121" customFormat="false" ht="6.75" hidden="false" customHeight="true" outlineLevel="0" collapsed="false">
      <c r="A121" s="3"/>
      <c r="B121" s="3"/>
      <c r="C121" s="3"/>
      <c r="D121" s="3"/>
      <c r="E121" s="3"/>
      <c r="F121" s="3"/>
      <c r="G121" s="3"/>
      <c r="H121" s="3"/>
      <c r="I121" s="3"/>
      <c r="J121" s="3"/>
      <c r="K121" s="3"/>
      <c r="L121" s="3"/>
      <c r="M121" s="3"/>
      <c r="N121" s="3"/>
      <c r="O121" s="3"/>
    </row>
    <row r="122" customFormat="false" ht="19.5" hidden="false" customHeight="true" outlineLevel="0" collapsed="false">
      <c r="A122" s="14" t="s">
        <v>226</v>
      </c>
      <c r="B122" s="14"/>
      <c r="C122" s="14"/>
      <c r="D122" s="14"/>
      <c r="E122" s="14"/>
      <c r="F122" s="14"/>
      <c r="G122" s="14"/>
      <c r="H122" s="14"/>
      <c r="I122" s="14"/>
      <c r="J122" s="14"/>
      <c r="K122" s="14"/>
      <c r="L122" s="14"/>
      <c r="M122" s="14"/>
      <c r="N122" s="14"/>
      <c r="O122" s="14"/>
    </row>
    <row r="123" customFormat="false" ht="15" hidden="false" customHeight="true" outlineLevel="0" collapsed="false">
      <c r="A123" s="27" t="s">
        <v>227</v>
      </c>
      <c r="B123" s="30" t="n">
        <v>0</v>
      </c>
      <c r="C123" s="26" t="s">
        <v>77</v>
      </c>
      <c r="D123" s="23" t="s">
        <v>228</v>
      </c>
      <c r="E123" s="3"/>
      <c r="F123" s="3"/>
      <c r="G123" s="3"/>
      <c r="H123" s="3"/>
      <c r="I123" s="3"/>
      <c r="J123" s="3"/>
      <c r="K123" s="3"/>
      <c r="L123" s="3"/>
      <c r="M123" s="3"/>
      <c r="N123" s="3"/>
      <c r="O123" s="3"/>
    </row>
    <row r="124" customFormat="false" ht="15" hidden="false" customHeight="true" outlineLevel="0" collapsed="false">
      <c r="A124" s="27" t="s">
        <v>229</v>
      </c>
      <c r="B124" s="34" t="n">
        <v>0</v>
      </c>
      <c r="C124" s="26" t="s">
        <v>170</v>
      </c>
      <c r="D124" s="3"/>
      <c r="E124" s="3"/>
      <c r="F124" s="3"/>
      <c r="G124" s="3"/>
      <c r="H124" s="3"/>
      <c r="I124" s="3"/>
      <c r="J124" s="3"/>
      <c r="K124" s="3"/>
      <c r="L124" s="3"/>
      <c r="M124" s="3"/>
      <c r="N124" s="3"/>
      <c r="O124" s="3"/>
    </row>
  </sheetData>
  <hyperlinks>
    <hyperlink ref="O2" location="'Dashboard'!A1" display="Back to Dashboard"/>
  </hyperlinks>
  <printOptions headings="false" gridLines="false" gridLinesSet="true" horizontalCentered="false" verticalCentered="false"/>
  <pageMargins left="0.35" right="0.35" top="0.45" bottom="0.45" header="0.511811023622047" footer="0.25"/>
  <pageSetup paperSize="9" scale="100" fitToWidth="1" fitToHeight="0"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rowBreaks count="1" manualBreakCount="1">
    <brk id="95"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F4B"/>
    <pageSetUpPr fitToPage="true"/>
  </sheetPr>
  <dimension ref="A1:Q8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6"/>
    <col collapsed="false" customWidth="true" hidden="false" outlineLevel="0" max="15" min="3" style="1" width="10.9"/>
    <col collapsed="false" customWidth="true" hidden="false" outlineLevel="0" max="17" min="16" style="1" width="12.8"/>
  </cols>
  <sheetData>
    <row r="1" customFormat="false" ht="22.5" hidden="false" customHeight="true" outlineLevel="0" collapsed="false">
      <c r="A1" s="2" t="s">
        <v>0</v>
      </c>
      <c r="B1" s="3"/>
      <c r="C1" s="3"/>
      <c r="D1" s="3"/>
      <c r="E1" s="3"/>
      <c r="F1" s="3"/>
      <c r="G1" s="3"/>
      <c r="H1" s="3"/>
      <c r="I1" s="3"/>
      <c r="J1" s="3"/>
      <c r="K1" s="3"/>
      <c r="L1" s="3"/>
      <c r="M1" s="3"/>
      <c r="N1" s="3"/>
      <c r="O1" s="3"/>
      <c r="P1" s="3"/>
      <c r="Q1" s="4" t="s">
        <v>1</v>
      </c>
    </row>
    <row r="2" customFormat="false" ht="16.5" hidden="false" customHeight="true" outlineLevel="0" collapsed="false">
      <c r="A2" s="5" t="s">
        <v>230</v>
      </c>
      <c r="B2" s="6"/>
      <c r="C2" s="6"/>
      <c r="D2" s="6"/>
      <c r="E2" s="6"/>
      <c r="F2" s="6"/>
      <c r="G2" s="6"/>
      <c r="H2" s="6"/>
      <c r="I2" s="6"/>
      <c r="J2" s="6"/>
      <c r="K2" s="6"/>
      <c r="L2" s="6"/>
      <c r="M2" s="6"/>
      <c r="N2" s="6"/>
      <c r="O2" s="6"/>
      <c r="P2" s="6"/>
      <c r="Q2" s="8" t="s">
        <v>61</v>
      </c>
    </row>
    <row r="3" customFormat="false" ht="15" hidden="false" customHeight="true" outlineLevel="0" collapsed="false">
      <c r="A3" s="3"/>
      <c r="B3" s="3"/>
      <c r="C3" s="3"/>
      <c r="D3" s="3"/>
      <c r="E3" s="3"/>
      <c r="F3" s="3"/>
      <c r="G3" s="3"/>
      <c r="H3" s="3"/>
      <c r="I3" s="3"/>
      <c r="J3" s="3"/>
      <c r="K3" s="3"/>
      <c r="L3" s="3"/>
      <c r="M3" s="3"/>
      <c r="N3" s="3"/>
      <c r="O3" s="3"/>
      <c r="P3" s="3"/>
      <c r="Q3" s="3"/>
    </row>
    <row r="4" customFormat="false" ht="25.5" hidden="false" customHeight="true" outlineLevel="0" collapsed="false">
      <c r="A4" s="51" t="s">
        <v>77</v>
      </c>
      <c r="B4" s="51" t="s">
        <v>231</v>
      </c>
      <c r="C4" s="52" t="s">
        <v>232</v>
      </c>
      <c r="D4" s="52" t="s">
        <v>233</v>
      </c>
      <c r="E4" s="52" t="s">
        <v>234</v>
      </c>
      <c r="F4" s="52" t="s">
        <v>235</v>
      </c>
      <c r="G4" s="52" t="s">
        <v>236</v>
      </c>
      <c r="H4" s="52" t="s">
        <v>237</v>
      </c>
      <c r="I4" s="52" t="s">
        <v>238</v>
      </c>
      <c r="J4" s="52" t="s">
        <v>239</v>
      </c>
      <c r="K4" s="52" t="s">
        <v>240</v>
      </c>
      <c r="L4" s="52" t="s">
        <v>241</v>
      </c>
      <c r="M4" s="52" t="s">
        <v>242</v>
      </c>
      <c r="N4" s="52" t="s">
        <v>243</v>
      </c>
      <c r="O4" s="52" t="s">
        <v>244</v>
      </c>
      <c r="P4" s="53" t="s">
        <v>245</v>
      </c>
      <c r="Q4" s="53" t="s">
        <v>246</v>
      </c>
    </row>
    <row r="5" customFormat="false" ht="13.5" hidden="false" customHeight="true" outlineLevel="0" collapsed="false">
      <c r="A5" s="46" t="s">
        <v>247</v>
      </c>
      <c r="B5" s="3"/>
      <c r="C5" s="54" t="n">
        <v>1</v>
      </c>
      <c r="D5" s="54" t="n">
        <f aca="false">C5+1</f>
        <v>2</v>
      </c>
      <c r="E5" s="54" t="n">
        <f aca="false">D5+1</f>
        <v>3</v>
      </c>
      <c r="F5" s="54" t="n">
        <f aca="false">E5+1</f>
        <v>4</v>
      </c>
      <c r="G5" s="54" t="n">
        <f aca="false">F5+1</f>
        <v>5</v>
      </c>
      <c r="H5" s="54" t="n">
        <f aca="false">G5+1</f>
        <v>6</v>
      </c>
      <c r="I5" s="54" t="n">
        <f aca="false">H5+1</f>
        <v>7</v>
      </c>
      <c r="J5" s="54" t="n">
        <f aca="false">I5+1</f>
        <v>8</v>
      </c>
      <c r="K5" s="54" t="n">
        <f aca="false">J5+1</f>
        <v>9</v>
      </c>
      <c r="L5" s="54" t="n">
        <f aca="false">K5+1</f>
        <v>10</v>
      </c>
      <c r="M5" s="54" t="n">
        <f aca="false">L5+1</f>
        <v>11</v>
      </c>
      <c r="N5" s="54" t="n">
        <f aca="false">M5+1</f>
        <v>12</v>
      </c>
      <c r="O5" s="54" t="n">
        <f aca="false">N5+1</f>
        <v>13</v>
      </c>
      <c r="P5" s="3"/>
      <c r="Q5" s="3"/>
    </row>
    <row r="6" customFormat="false" ht="13.5" hidden="false" customHeight="true" outlineLevel="0" collapsed="false">
      <c r="A6" s="46" t="s">
        <v>248</v>
      </c>
      <c r="B6" s="3"/>
      <c r="C6" s="55" t="n">
        <f aca="false">Assumptions!$B$7</f>
        <v>46237</v>
      </c>
      <c r="D6" s="56" t="n">
        <f aca="false">C6+7</f>
        <v>46244</v>
      </c>
      <c r="E6" s="56" t="n">
        <f aca="false">D6+7</f>
        <v>46251</v>
      </c>
      <c r="F6" s="56" t="n">
        <f aca="false">E6+7</f>
        <v>46258</v>
      </c>
      <c r="G6" s="56" t="n">
        <f aca="false">F6+7</f>
        <v>46265</v>
      </c>
      <c r="H6" s="56" t="n">
        <f aca="false">G6+7</f>
        <v>46272</v>
      </c>
      <c r="I6" s="56" t="n">
        <f aca="false">H6+7</f>
        <v>46279</v>
      </c>
      <c r="J6" s="56" t="n">
        <f aca="false">I6+7</f>
        <v>46286</v>
      </c>
      <c r="K6" s="56" t="n">
        <f aca="false">J6+7</f>
        <v>46293</v>
      </c>
      <c r="L6" s="56" t="n">
        <f aca="false">K6+7</f>
        <v>46300</v>
      </c>
      <c r="M6" s="56" t="n">
        <f aca="false">L6+7</f>
        <v>46307</v>
      </c>
      <c r="N6" s="56" t="n">
        <f aca="false">M6+7</f>
        <v>46314</v>
      </c>
      <c r="O6" s="56" t="n">
        <f aca="false">N6+7</f>
        <v>46321</v>
      </c>
      <c r="P6" s="3"/>
      <c r="Q6" s="3"/>
    </row>
    <row r="7" customFormat="false" ht="15" hidden="false" customHeight="true" outlineLevel="0" collapsed="false">
      <c r="A7" s="57" t="s">
        <v>249</v>
      </c>
      <c r="B7" s="38"/>
      <c r="C7" s="58" t="n">
        <f aca="false">C6+6</f>
        <v>46243</v>
      </c>
      <c r="D7" s="58" t="n">
        <f aca="false">D6+6</f>
        <v>46250</v>
      </c>
      <c r="E7" s="58" t="n">
        <f aca="false">E6+6</f>
        <v>46257</v>
      </c>
      <c r="F7" s="58" t="n">
        <f aca="false">F6+6</f>
        <v>46264</v>
      </c>
      <c r="G7" s="58" t="n">
        <f aca="false">G6+6</f>
        <v>46271</v>
      </c>
      <c r="H7" s="58" t="n">
        <f aca="false">H6+6</f>
        <v>46278</v>
      </c>
      <c r="I7" s="58" t="n">
        <f aca="false">I6+6</f>
        <v>46285</v>
      </c>
      <c r="J7" s="58" t="n">
        <f aca="false">J6+6</f>
        <v>46292</v>
      </c>
      <c r="K7" s="58" t="n">
        <f aca="false">K6+6</f>
        <v>46299</v>
      </c>
      <c r="L7" s="58" t="n">
        <f aca="false">L6+6</f>
        <v>46306</v>
      </c>
      <c r="M7" s="58" t="n">
        <f aca="false">M6+6</f>
        <v>46313</v>
      </c>
      <c r="N7" s="58" t="n">
        <f aca="false">N6+6</f>
        <v>46320</v>
      </c>
      <c r="O7" s="58" t="n">
        <f aca="false">O6+6</f>
        <v>46327</v>
      </c>
      <c r="P7" s="38"/>
      <c r="Q7" s="38"/>
    </row>
    <row r="8" customFormat="false" ht="15" hidden="false" customHeight="true" outlineLevel="0" collapsed="false">
      <c r="A8" s="3"/>
      <c r="B8" s="3"/>
      <c r="C8" s="3"/>
      <c r="D8" s="3"/>
      <c r="E8" s="3"/>
      <c r="F8" s="3"/>
      <c r="G8" s="3"/>
      <c r="H8" s="3"/>
      <c r="I8" s="3"/>
      <c r="J8" s="3"/>
      <c r="K8" s="3"/>
      <c r="L8" s="3"/>
      <c r="M8" s="3"/>
      <c r="N8" s="3"/>
      <c r="O8" s="3"/>
      <c r="P8" s="3"/>
      <c r="Q8" s="3"/>
    </row>
    <row r="9" customFormat="false" ht="18" hidden="false" customHeight="true" outlineLevel="0" collapsed="false">
      <c r="A9" s="59" t="s">
        <v>250</v>
      </c>
      <c r="B9" s="60" t="s">
        <v>251</v>
      </c>
      <c r="C9" s="61" t="n">
        <f aca="false">Assumptions!$B$12</f>
        <v>205000</v>
      </c>
      <c r="D9" s="61" t="n">
        <f aca="false">C39</f>
        <v>229516.48596</v>
      </c>
      <c r="E9" s="61" t="n">
        <f aca="false">D39</f>
        <v>210506.606584</v>
      </c>
      <c r="F9" s="61" t="n">
        <f aca="false">E39</f>
        <v>237278.14226</v>
      </c>
      <c r="G9" s="61" t="n">
        <f aca="false">F39</f>
        <v>265003.41798</v>
      </c>
      <c r="H9" s="61" t="n">
        <f aca="false">G39</f>
        <v>173817.289784</v>
      </c>
      <c r="I9" s="61" t="n">
        <f aca="false">H39</f>
        <v>196072.2</v>
      </c>
      <c r="J9" s="61" t="n">
        <f aca="false">I39</f>
        <v>232293.0914</v>
      </c>
      <c r="K9" s="61" t="n">
        <f aca="false">J39</f>
        <v>180344.897556</v>
      </c>
      <c r="L9" s="61" t="n">
        <f aca="false">K39</f>
        <v>114528.4346</v>
      </c>
      <c r="M9" s="61" t="n">
        <f aca="false">L39</f>
        <v>134028.496084</v>
      </c>
      <c r="N9" s="61" t="n">
        <f aca="false">M39</f>
        <v>129334.055252</v>
      </c>
      <c r="O9" s="61" t="n">
        <f aca="false">N39</f>
        <v>160084.209932</v>
      </c>
      <c r="P9" s="3"/>
      <c r="Q9" s="3"/>
    </row>
    <row r="10" customFormat="false" ht="6" hidden="false" customHeight="true" outlineLevel="0" collapsed="false">
      <c r="A10" s="3"/>
      <c r="B10" s="3"/>
      <c r="C10" s="3"/>
      <c r="D10" s="3"/>
      <c r="E10" s="3"/>
      <c r="F10" s="3"/>
      <c r="G10" s="3"/>
      <c r="H10" s="3"/>
      <c r="I10" s="3"/>
      <c r="J10" s="3"/>
      <c r="K10" s="3"/>
      <c r="L10" s="3"/>
      <c r="M10" s="3"/>
      <c r="N10" s="3"/>
      <c r="O10" s="3"/>
      <c r="P10" s="3"/>
      <c r="Q10" s="3"/>
    </row>
    <row r="11" customFormat="false" ht="18" hidden="false" customHeight="true" outlineLevel="0" collapsed="false">
      <c r="A11" s="14" t="s">
        <v>252</v>
      </c>
      <c r="B11" s="14"/>
      <c r="C11" s="14"/>
      <c r="D11" s="14"/>
      <c r="E11" s="14"/>
      <c r="F11" s="14"/>
      <c r="G11" s="14"/>
      <c r="H11" s="14"/>
      <c r="I11" s="14"/>
      <c r="J11" s="14"/>
      <c r="K11" s="14"/>
      <c r="L11" s="14"/>
      <c r="M11" s="14"/>
      <c r="N11" s="14"/>
      <c r="O11" s="14"/>
      <c r="P11" s="14"/>
      <c r="Q11" s="14"/>
    </row>
    <row r="12" customFormat="false" ht="15" hidden="false" customHeight="true" outlineLevel="0" collapsed="false">
      <c r="A12" s="27" t="s">
        <v>253</v>
      </c>
      <c r="B12" s="62" t="s">
        <v>254</v>
      </c>
      <c r="C12" s="35" t="n">
        <f aca="false">C72*Assumptions!$B$66+IF(C$5=1,Assumptions!$B$71,INDEX($C$72:$O$72,1,C$5-1)*(1-Assumptions!$B$66))</f>
        <v>18197.668</v>
      </c>
      <c r="D12" s="35" t="n">
        <f aca="false">D72*Assumptions!$B$66+IF(D$5=1,Assumptions!$B$71,INDEX($C$72:$O$72,1,D$5-1)*(1-Assumptions!$B$66))</f>
        <v>20410.1072</v>
      </c>
      <c r="E12" s="35" t="n">
        <f aca="false">E72*Assumptions!$B$66+IF(E$5=1,Assumptions!$B$71,INDEX($C$72:$O$72,1,E$5-1)*(1-Assumptions!$B$66))</f>
        <v>17799.6896</v>
      </c>
      <c r="F12" s="35" t="n">
        <f aca="false">F72*Assumptions!$B$66+IF(F$5=1,Assumptions!$B$71,INDEX($C$72:$O$72,1,F$5-1)*(1-Assumptions!$B$66))</f>
        <v>17204.3312</v>
      </c>
      <c r="G12" s="35" t="n">
        <f aca="false">G72*Assumptions!$B$66+IF(G$5=1,Assumptions!$B$71,INDEX($C$72:$O$72,1,G$5-1)*(1-Assumptions!$B$66))</f>
        <v>17700.4632</v>
      </c>
      <c r="H12" s="35" t="n">
        <f aca="false">H72*Assumptions!$B$66+IF(H$5=1,Assumptions!$B$71,INDEX($C$72:$O$72,1,H$5-1)*(1-Assumptions!$B$66))</f>
        <v>18448.4776</v>
      </c>
      <c r="I12" s="35" t="n">
        <f aca="false">I72*Assumptions!$B$66+IF(I$5=1,Assumptions!$B$71,INDEX($C$72:$O$72,1,I$5-1)*(1-Assumptions!$B$66))</f>
        <v>19036.2032</v>
      </c>
      <c r="J12" s="35" t="n">
        <f aca="false">J72*Assumptions!$B$66+IF(J$5=1,Assumptions!$B$71,INDEX($C$72:$O$72,1,J$5-1)*(1-Assumptions!$B$66))</f>
        <v>19433.1088</v>
      </c>
      <c r="K12" s="35" t="n">
        <f aca="false">K72*Assumptions!$B$66+IF(K$5=1,Assumptions!$B$71,INDEX($C$72:$O$72,1,K$5-1)*(1-Assumptions!$B$66))</f>
        <v>18761.4224</v>
      </c>
      <c r="L12" s="35" t="n">
        <f aca="false">L72*Assumptions!$B$66+IF(L$5=1,Assumptions!$B$71,INDEX($C$72:$O$72,1,L$5-1)*(1-Assumptions!$B$66))</f>
        <v>19578.132</v>
      </c>
      <c r="M12" s="35" t="n">
        <f aca="false">M72*Assumptions!$B$66+IF(M$5=1,Assumptions!$B$71,INDEX($C$72:$O$72,1,M$5-1)*(1-Assumptions!$B$66))</f>
        <v>20181.1232</v>
      </c>
      <c r="N12" s="35" t="n">
        <f aca="false">N72*Assumptions!$B$66+IF(N$5=1,Assumptions!$B$71,INDEX($C$72:$O$72,1,N$5-1)*(1-Assumptions!$B$66))</f>
        <v>20929.1376</v>
      </c>
      <c r="O12" s="35" t="n">
        <f aca="false">O72*Assumptions!$B$66+IF(O$5=1,Assumptions!$B$71,INDEX($C$72:$O$72,1,O$5-1)*(1-Assumptions!$B$66))</f>
        <v>21692.4176</v>
      </c>
      <c r="P12" s="35" t="n">
        <f aca="false">SUM(C12:O12)</f>
        <v>249372.2816</v>
      </c>
      <c r="Q12" s="63" t="n">
        <f aca="false">AVERAGE(C12:O12)</f>
        <v>19182.4832</v>
      </c>
    </row>
    <row r="13" customFormat="false" ht="15" hidden="false" customHeight="true" outlineLevel="0" collapsed="false">
      <c r="A13" s="27" t="s">
        <v>255</v>
      </c>
      <c r="B13" s="62" t="s">
        <v>256</v>
      </c>
      <c r="C13" s="35" t="n">
        <f aca="false">C73*Assumptions!$B$67+IF(C$5=1,Assumptions!$B$72,INDEX($C$73:$O$73,1,C$5-1)*(1-Assumptions!$B$67))</f>
        <v>21016.22</v>
      </c>
      <c r="D13" s="35" t="n">
        <f aca="false">D73*Assumptions!$B$67+IF(D$5=1,Assumptions!$B$72,INDEX($C$73:$O$73,1,D$5-1)*(1-Assumptions!$B$67))</f>
        <v>22379.28</v>
      </c>
      <c r="E13" s="35" t="n">
        <f aca="false">E73*Assumptions!$B$67+IF(E$5=1,Assumptions!$B$72,INDEX($C$73:$O$73,1,E$5-1)*(1-Assumptions!$B$67))</f>
        <v>20988.66</v>
      </c>
      <c r="F13" s="35" t="n">
        <f aca="false">F73*Assumptions!$B$67+IF(F$5=1,Assumptions!$B$72,INDEX($C$73:$O$73,1,F$5-1)*(1-Assumptions!$B$67))</f>
        <v>20514.34</v>
      </c>
      <c r="G13" s="35" t="n">
        <f aca="false">G73*Assumptions!$B$67+IF(G$5=1,Assumptions!$B$72,INDEX($C$73:$O$73,1,G$5-1)*(1-Assumptions!$B$67))</f>
        <v>21215.04</v>
      </c>
      <c r="H13" s="35" t="n">
        <f aca="false">H73*Assumptions!$B$67+IF(H$5=1,Assumptions!$B$72,INDEX($C$73:$O$73,1,H$5-1)*(1-Assumptions!$B$67))</f>
        <v>21894.18</v>
      </c>
      <c r="I13" s="35" t="n">
        <f aca="false">I73*Assumptions!$B$67+IF(I$5=1,Assumptions!$B$72,INDEX($C$73:$O$73,1,I$5-1)*(1-Assumptions!$B$67))</f>
        <v>22357.72</v>
      </c>
      <c r="J13" s="35" t="n">
        <f aca="false">J73*Assumptions!$B$67+IF(J$5=1,Assumptions!$B$72,INDEX($C$73:$O$73,1,J$5-1)*(1-Assumptions!$B$67))</f>
        <v>22788.92</v>
      </c>
      <c r="K13" s="35" t="n">
        <f aca="false">K73*Assumptions!$B$67+IF(K$5=1,Assumptions!$B$72,INDEX($C$73:$O$73,1,K$5-1)*(1-Assumptions!$B$67))</f>
        <v>22670.34</v>
      </c>
      <c r="L13" s="35" t="n">
        <f aca="false">L73*Assumptions!$B$67+IF(L$5=1,Assumptions!$B$72,INDEX($C$73:$O$73,1,L$5-1)*(1-Assumptions!$B$67))</f>
        <v>23187.78</v>
      </c>
      <c r="M13" s="35" t="n">
        <f aca="false">M73*Assumptions!$B$67+IF(M$5=1,Assumptions!$B$72,INDEX($C$73:$O$73,1,M$5-1)*(1-Assumptions!$B$67))</f>
        <v>24017.84</v>
      </c>
      <c r="N13" s="35" t="n">
        <f aca="false">N73*Assumptions!$B$67+IF(N$5=1,Assumptions!$B$72,INDEX($C$73:$O$73,1,N$5-1)*(1-Assumptions!$B$67))</f>
        <v>24696.98</v>
      </c>
      <c r="O13" s="35" t="n">
        <f aca="false">O73*Assumptions!$B$67+IF(O$5=1,Assumptions!$B$72,INDEX($C$73:$O$73,1,O$5-1)*(1-Assumptions!$B$67))</f>
        <v>25710.3</v>
      </c>
      <c r="P13" s="35" t="n">
        <f aca="false">SUM(C13:O13)</f>
        <v>293437.6</v>
      </c>
      <c r="Q13" s="63" t="n">
        <f aca="false">AVERAGE(C13:O13)</f>
        <v>22572.1230769231</v>
      </c>
    </row>
    <row r="14" customFormat="false" ht="15" hidden="false" customHeight="true" outlineLevel="0" collapsed="false">
      <c r="A14" s="27" t="s">
        <v>257</v>
      </c>
      <c r="B14" s="62" t="s">
        <v>258</v>
      </c>
      <c r="C14" s="35" t="n">
        <f aca="false">C74*Assumptions!$B$68+IF(C$5=1,0,INDEX($C$74:$O$74,1,C$5-1)*(1-Assumptions!$B$68))</f>
        <v>0</v>
      </c>
      <c r="D14" s="35" t="n">
        <f aca="false">D74*Assumptions!$B$68+IF(D$5=1,0,INDEX($C$74:$O$74,1,D$5-1)*(1-Assumptions!$B$68))</f>
        <v>23280</v>
      </c>
      <c r="E14" s="35" t="n">
        <f aca="false">E74*Assumptions!$B$68+IF(E$5=1,0,INDEX($C$74:$O$74,1,E$5-1)*(1-Assumptions!$B$68))</f>
        <v>0</v>
      </c>
      <c r="F14" s="35" t="n">
        <f aca="false">F74*Assumptions!$B$68+IF(F$5=1,0,INDEX($C$74:$O$74,1,F$5-1)*(1-Assumptions!$B$68))</f>
        <v>0</v>
      </c>
      <c r="G14" s="35" t="n">
        <f aca="false">G74*Assumptions!$B$68+IF(G$5=1,0,INDEX($C$74:$O$74,1,G$5-1)*(1-Assumptions!$B$68))</f>
        <v>0</v>
      </c>
      <c r="H14" s="35" t="n">
        <f aca="false">H74*Assumptions!$B$68+IF(H$5=1,0,INDEX($C$74:$O$74,1,H$5-1)*(1-Assumptions!$B$68))</f>
        <v>0</v>
      </c>
      <c r="I14" s="35" t="n">
        <f aca="false">I74*Assumptions!$B$68+IF(I$5=1,0,INDEX($C$74:$O$74,1,I$5-1)*(1-Assumptions!$B$68))</f>
        <v>18624</v>
      </c>
      <c r="J14" s="35" t="n">
        <f aca="false">J74*Assumptions!$B$68+IF(J$5=1,0,INDEX($C$74:$O$74,1,J$5-1)*(1-Assumptions!$B$68))</f>
        <v>0</v>
      </c>
      <c r="K14" s="35" t="n">
        <f aca="false">K74*Assumptions!$B$68+IF(K$5=1,0,INDEX($C$74:$O$74,1,K$5-1)*(1-Assumptions!$B$68))</f>
        <v>0</v>
      </c>
      <c r="L14" s="35" t="n">
        <f aca="false">L74*Assumptions!$B$68+IF(L$5=1,0,INDEX($C$74:$O$74,1,L$5-1)*(1-Assumptions!$B$68))</f>
        <v>0</v>
      </c>
      <c r="M14" s="35" t="n">
        <f aca="false">M74*Assumptions!$B$68+IF(M$5=1,0,INDEX($C$74:$O$74,1,M$5-1)*(1-Assumptions!$B$68))</f>
        <v>32592</v>
      </c>
      <c r="N14" s="35" t="n">
        <f aca="false">N74*Assumptions!$B$68+IF(N$5=1,0,INDEX($C$74:$O$74,1,N$5-1)*(1-Assumptions!$B$68))</f>
        <v>0</v>
      </c>
      <c r="O14" s="35" t="n">
        <f aca="false">O74*Assumptions!$B$68+IF(O$5=1,0,INDEX($C$74:$O$74,1,O$5-1)*(1-Assumptions!$B$68))</f>
        <v>25608</v>
      </c>
      <c r="P14" s="35" t="n">
        <f aca="false">SUM(C14:O14)</f>
        <v>100104</v>
      </c>
      <c r="Q14" s="63" t="n">
        <f aca="false">AVERAGE(C14:O14)</f>
        <v>7700.30769230769</v>
      </c>
    </row>
    <row r="15" customFormat="false" ht="15" hidden="false" customHeight="true" outlineLevel="0" collapsed="false">
      <c r="A15" s="27" t="s">
        <v>259</v>
      </c>
      <c r="B15" s="62" t="s">
        <v>260</v>
      </c>
      <c r="C15" s="35" t="n">
        <f aca="false">IF(C$5&lt;=Assumptions!$B$69,Assumptions!$B$73/Assumptions!$B$69,INDEX($C$75:$O$75,1,C$5-Assumptions!$B$69)*(1-Assumptions!$B$41))</f>
        <v>5495</v>
      </c>
      <c r="D15" s="35" t="n">
        <f aca="false">IF(D$5&lt;=Assumptions!$B$69,Assumptions!$B$73/Assumptions!$B$69,INDEX($C$75:$O$75,1,D$5-Assumptions!$B$69)*(1-Assumptions!$B$41))</f>
        <v>5495</v>
      </c>
      <c r="E15" s="35" t="n">
        <f aca="false">IF(E$5&lt;=Assumptions!$B$69,Assumptions!$B$73/Assumptions!$B$69,INDEX($C$75:$O$75,1,E$5-Assumptions!$B$69)*(1-Assumptions!$B$41))</f>
        <v>5495</v>
      </c>
      <c r="F15" s="35" t="n">
        <f aca="false">IF(F$5&lt;=Assumptions!$B$69,Assumptions!$B$73/Assumptions!$B$69,INDEX($C$75:$O$75,1,F$5-Assumptions!$B$69)*(1-Assumptions!$B$41))</f>
        <v>5495</v>
      </c>
      <c r="G15" s="35" t="n">
        <f aca="false">IF(G$5&lt;=Assumptions!$B$69,Assumptions!$B$73/Assumptions!$B$69,INDEX($C$75:$O$75,1,G$5-Assumptions!$B$69)*(1-Assumptions!$B$41))</f>
        <v>5275.2</v>
      </c>
      <c r="H15" s="35" t="n">
        <f aca="false">IF(H$5&lt;=Assumptions!$B$69,Assumptions!$B$73/Assumptions!$B$69,INDEX($C$75:$O$75,1,H$5-Assumptions!$B$69)*(1-Assumptions!$B$41))</f>
        <v>5495</v>
      </c>
      <c r="I15" s="35" t="n">
        <f aca="false">IF(I$5&lt;=Assumptions!$B$69,Assumptions!$B$73/Assumptions!$B$69,INDEX($C$75:$O$75,1,I$5-Assumptions!$B$69)*(1-Assumptions!$B$41))</f>
        <v>5220.25</v>
      </c>
      <c r="J15" s="35" t="n">
        <f aca="false">IF(J$5&lt;=Assumptions!$B$69,Assumptions!$B$73/Assumptions!$B$69,INDEX($C$75:$O$75,1,J$5-Assumptions!$B$69)*(1-Assumptions!$B$41))</f>
        <v>5165.3</v>
      </c>
      <c r="K15" s="35" t="n">
        <f aca="false">IF(K$5&lt;=Assumptions!$B$69,Assumptions!$B$73/Assumptions!$B$69,INDEX($C$75:$O$75,1,K$5-Assumptions!$B$69)*(1-Assumptions!$B$41))</f>
        <v>5330.15</v>
      </c>
      <c r="L15" s="35" t="n">
        <f aca="false">IF(L$5&lt;=Assumptions!$B$69,Assumptions!$B$73/Assumptions!$B$69,INDEX($C$75:$O$75,1,L$5-Assumptions!$B$69)*(1-Assumptions!$B$41))</f>
        <v>5495</v>
      </c>
      <c r="M15" s="35" t="n">
        <f aca="false">IF(M$5&lt;=Assumptions!$B$69,Assumptions!$B$73/Assumptions!$B$69,INDEX($C$75:$O$75,1,M$5-Assumptions!$B$69)*(1-Assumptions!$B$41))</f>
        <v>5604.9</v>
      </c>
      <c r="N15" s="35" t="n">
        <f aca="false">IF(N$5&lt;=Assumptions!$B$69,Assumptions!$B$73/Assumptions!$B$69,INDEX($C$75:$O$75,1,N$5-Assumptions!$B$69)*(1-Assumptions!$B$41))</f>
        <v>5659.85</v>
      </c>
      <c r="O15" s="35" t="n">
        <f aca="false">IF(O$5&lt;=Assumptions!$B$69,Assumptions!$B$73/Assumptions!$B$69,INDEX($C$75:$O$75,1,O$5-Assumptions!$B$69)*(1-Assumptions!$B$41))</f>
        <v>5549.95</v>
      </c>
      <c r="P15" s="35" t="n">
        <f aca="false">SUM(C15:O15)</f>
        <v>70775.6</v>
      </c>
      <c r="Q15" s="63" t="n">
        <f aca="false">AVERAGE(C15:O15)</f>
        <v>5444.27692307692</v>
      </c>
    </row>
    <row r="16" customFormat="false" ht="15" hidden="false" customHeight="true" outlineLevel="0" collapsed="false">
      <c r="A16" s="27" t="s">
        <v>261</v>
      </c>
      <c r="B16" s="62" t="s">
        <v>262</v>
      </c>
      <c r="C16" s="35" t="n">
        <f aca="false">IF(C$5=Assumptions!$B$124,Assumptions!$B$123,0)</f>
        <v>0</v>
      </c>
      <c r="D16" s="35" t="n">
        <f aca="false">IF(D$5=Assumptions!$B$124,Assumptions!$B$123,0)</f>
        <v>0</v>
      </c>
      <c r="E16" s="35" t="n">
        <f aca="false">IF(E$5=Assumptions!$B$124,Assumptions!$B$123,0)</f>
        <v>0</v>
      </c>
      <c r="F16" s="35" t="n">
        <f aca="false">IF(F$5=Assumptions!$B$124,Assumptions!$B$123,0)</f>
        <v>0</v>
      </c>
      <c r="G16" s="35" t="n">
        <f aca="false">IF(G$5=Assumptions!$B$124,Assumptions!$B$123,0)</f>
        <v>0</v>
      </c>
      <c r="H16" s="35" t="n">
        <f aca="false">IF(H$5=Assumptions!$B$124,Assumptions!$B$123,0)</f>
        <v>0</v>
      </c>
      <c r="I16" s="35" t="n">
        <f aca="false">IF(I$5=Assumptions!$B$124,Assumptions!$B$123,0)</f>
        <v>0</v>
      </c>
      <c r="J16" s="35" t="n">
        <f aca="false">IF(J$5=Assumptions!$B$124,Assumptions!$B$123,0)</f>
        <v>0</v>
      </c>
      <c r="K16" s="35" t="n">
        <f aca="false">IF(K$5=Assumptions!$B$124,Assumptions!$B$123,0)</f>
        <v>0</v>
      </c>
      <c r="L16" s="35" t="n">
        <f aca="false">IF(L$5=Assumptions!$B$124,Assumptions!$B$123,0)</f>
        <v>0</v>
      </c>
      <c r="M16" s="35" t="n">
        <f aca="false">IF(M$5=Assumptions!$B$124,Assumptions!$B$123,0)</f>
        <v>0</v>
      </c>
      <c r="N16" s="35" t="n">
        <f aca="false">IF(N$5=Assumptions!$B$124,Assumptions!$B$123,0)</f>
        <v>0</v>
      </c>
      <c r="O16" s="35" t="n">
        <f aca="false">IF(O$5=Assumptions!$B$124,Assumptions!$B$123,0)</f>
        <v>0</v>
      </c>
      <c r="P16" s="35" t="n">
        <f aca="false">SUM(C16:O16)</f>
        <v>0</v>
      </c>
      <c r="Q16" s="63" t="n">
        <f aca="false">AVERAGE(C16:O16)</f>
        <v>0</v>
      </c>
    </row>
    <row r="17" customFormat="false" ht="16.5" hidden="false" customHeight="true" outlineLevel="0" collapsed="false">
      <c r="A17" s="59" t="s">
        <v>263</v>
      </c>
      <c r="B17" s="64"/>
      <c r="C17" s="61" t="n">
        <f aca="false">SUM(C12:C16)</f>
        <v>44708.888</v>
      </c>
      <c r="D17" s="61" t="n">
        <f aca="false">SUM(D12:D16)</f>
        <v>71564.3872</v>
      </c>
      <c r="E17" s="61" t="n">
        <f aca="false">SUM(E12:E16)</f>
        <v>44283.3496</v>
      </c>
      <c r="F17" s="61" t="n">
        <f aca="false">SUM(F12:F16)</f>
        <v>43213.6712</v>
      </c>
      <c r="G17" s="61" t="n">
        <f aca="false">SUM(G12:G16)</f>
        <v>44190.7032</v>
      </c>
      <c r="H17" s="61" t="n">
        <f aca="false">SUM(H12:H16)</f>
        <v>45837.6576</v>
      </c>
      <c r="I17" s="61" t="n">
        <f aca="false">SUM(I12:I16)</f>
        <v>65238.1732</v>
      </c>
      <c r="J17" s="61" t="n">
        <f aca="false">SUM(J12:J16)</f>
        <v>47387.3288</v>
      </c>
      <c r="K17" s="61" t="n">
        <f aca="false">SUM(K12:K16)</f>
        <v>46761.9124</v>
      </c>
      <c r="L17" s="61" t="n">
        <f aca="false">SUM(L12:L16)</f>
        <v>48260.912</v>
      </c>
      <c r="M17" s="61" t="n">
        <f aca="false">SUM(M12:M16)</f>
        <v>82395.8632</v>
      </c>
      <c r="N17" s="61" t="n">
        <f aca="false">SUM(N12:N16)</f>
        <v>51285.9676</v>
      </c>
      <c r="O17" s="61" t="n">
        <f aca="false">SUM(O12:O16)</f>
        <v>78560.6676</v>
      </c>
      <c r="P17" s="61" t="n">
        <f aca="false">SUM(C17:O17)</f>
        <v>713689.4816</v>
      </c>
      <c r="Q17" s="61" t="n">
        <f aca="false">AVERAGE(C17:O17)</f>
        <v>54899.1908923077</v>
      </c>
    </row>
    <row r="18" customFormat="false" ht="6" hidden="false" customHeight="true" outlineLevel="0" collapsed="false">
      <c r="A18" s="3"/>
      <c r="B18" s="3"/>
      <c r="C18" s="3"/>
      <c r="D18" s="3"/>
      <c r="E18" s="3"/>
      <c r="F18" s="3"/>
      <c r="G18" s="3"/>
      <c r="H18" s="3"/>
      <c r="I18" s="3"/>
      <c r="J18" s="3"/>
      <c r="K18" s="3"/>
      <c r="L18" s="3"/>
      <c r="M18" s="3"/>
      <c r="N18" s="3"/>
      <c r="O18" s="3"/>
      <c r="P18" s="3"/>
      <c r="Q18" s="3"/>
    </row>
    <row r="19" customFormat="false" ht="18" hidden="false" customHeight="true" outlineLevel="0" collapsed="false">
      <c r="A19" s="14" t="s">
        <v>264</v>
      </c>
      <c r="B19" s="14"/>
      <c r="C19" s="14"/>
      <c r="D19" s="14"/>
      <c r="E19" s="14"/>
      <c r="F19" s="14"/>
      <c r="G19" s="14"/>
      <c r="H19" s="14"/>
      <c r="I19" s="14"/>
      <c r="J19" s="14"/>
      <c r="K19" s="14"/>
      <c r="L19" s="14"/>
      <c r="M19" s="14"/>
      <c r="N19" s="14"/>
      <c r="O19" s="14"/>
      <c r="P19" s="14"/>
      <c r="Q19" s="14"/>
    </row>
    <row r="20" customFormat="false" ht="15" hidden="false" customHeight="true" outlineLevel="0" collapsed="false">
      <c r="A20" s="27" t="s">
        <v>265</v>
      </c>
      <c r="B20" s="62" t="s">
        <v>266</v>
      </c>
      <c r="C20" s="35" t="n">
        <f aca="false">C88</f>
        <v>11016.17084</v>
      </c>
      <c r="D20" s="35" t="n">
        <f aca="false">D88</f>
        <v>70954.325216</v>
      </c>
      <c r="E20" s="35" t="n">
        <f aca="false">E88</f>
        <v>10808.488384</v>
      </c>
      <c r="F20" s="35" t="n">
        <f aca="false">F88</f>
        <v>10647.28968</v>
      </c>
      <c r="G20" s="35" t="n">
        <f aca="false">G88</f>
        <v>57041.453736</v>
      </c>
      <c r="H20" s="35" t="n">
        <f aca="false">H88</f>
        <v>11432.082344</v>
      </c>
      <c r="I20" s="35" t="n">
        <f aca="false">I88</f>
        <v>15596.6872</v>
      </c>
      <c r="J20" s="35" t="n">
        <f aca="false">J88</f>
        <v>93919.213904</v>
      </c>
      <c r="K20" s="35" t="n">
        <f aca="false">K88</f>
        <v>11646.835696</v>
      </c>
      <c r="L20" s="35" t="n">
        <f aca="false">L88</f>
        <v>12102.160056</v>
      </c>
      <c r="M20" s="35" t="n">
        <f aca="false">M88</f>
        <v>72301.533712</v>
      </c>
      <c r="N20" s="35" t="n">
        <f aca="false">N88</f>
        <v>12868.74072</v>
      </c>
      <c r="O20" s="35" t="n">
        <f aca="false">O88</f>
        <v>18688.146128</v>
      </c>
      <c r="P20" s="35" t="n">
        <f aca="false">SUM(C20:O20)</f>
        <v>409023.127616</v>
      </c>
      <c r="Q20" s="63" t="n">
        <f aca="false">AVERAGE(C20:O20)</f>
        <v>31463.3175089231</v>
      </c>
    </row>
    <row r="21" customFormat="false" ht="15" hidden="false" customHeight="true" outlineLevel="0" collapsed="false">
      <c r="A21" s="27" t="s">
        <v>267</v>
      </c>
      <c r="B21" s="62" t="s">
        <v>163</v>
      </c>
      <c r="C21" s="35" t="n">
        <f aca="false">Assumptions!$B$46*C69</f>
        <v>0</v>
      </c>
      <c r="D21" s="35" t="n">
        <f aca="false">Assumptions!$B$46*D69</f>
        <v>0</v>
      </c>
      <c r="E21" s="35" t="n">
        <f aca="false">Assumptions!$B$46*E69</f>
        <v>0</v>
      </c>
      <c r="F21" s="35" t="n">
        <f aca="false">Assumptions!$B$46*F69</f>
        <v>0</v>
      </c>
      <c r="G21" s="35" t="n">
        <f aca="false">Assumptions!$B$46*G69</f>
        <v>18500</v>
      </c>
      <c r="H21" s="35" t="n">
        <f aca="false">Assumptions!$B$46*H69</f>
        <v>0</v>
      </c>
      <c r="I21" s="35" t="n">
        <f aca="false">Assumptions!$B$46*I69</f>
        <v>0</v>
      </c>
      <c r="J21" s="35" t="n">
        <f aca="false">Assumptions!$B$46*J69</f>
        <v>0</v>
      </c>
      <c r="K21" s="35" t="n">
        <f aca="false">Assumptions!$B$46*K69</f>
        <v>18500</v>
      </c>
      <c r="L21" s="35" t="n">
        <f aca="false">Assumptions!$B$46*L69</f>
        <v>0</v>
      </c>
      <c r="M21" s="35" t="n">
        <f aca="false">Assumptions!$B$46*M69</f>
        <v>0</v>
      </c>
      <c r="N21" s="35" t="n">
        <f aca="false">Assumptions!$B$46*N69</f>
        <v>0</v>
      </c>
      <c r="O21" s="35" t="n">
        <f aca="false">Assumptions!$B$46*O69</f>
        <v>18500</v>
      </c>
      <c r="P21" s="35" t="n">
        <f aca="false">SUM(C21:O21)</f>
        <v>55500</v>
      </c>
      <c r="Q21" s="63" t="n">
        <f aca="false">AVERAGE(C21:O21)</f>
        <v>4269.23076923077</v>
      </c>
    </row>
    <row r="22" customFormat="false" ht="15" hidden="false" customHeight="true" outlineLevel="0" collapsed="false">
      <c r="A22" s="27" t="s">
        <v>268</v>
      </c>
      <c r="B22" s="62" t="s">
        <v>163</v>
      </c>
      <c r="C22" s="35" t="n">
        <f aca="false">Assumptions!$B$91*C69</f>
        <v>0</v>
      </c>
      <c r="D22" s="35" t="n">
        <f aca="false">Assumptions!$B$91*D69</f>
        <v>0</v>
      </c>
      <c r="E22" s="35" t="n">
        <f aca="false">Assumptions!$B$91*E69</f>
        <v>0</v>
      </c>
      <c r="F22" s="35" t="n">
        <f aca="false">Assumptions!$B$91*F69</f>
        <v>0</v>
      </c>
      <c r="G22" s="35" t="n">
        <f aca="false">Assumptions!$B$91*G69</f>
        <v>26200</v>
      </c>
      <c r="H22" s="35" t="n">
        <f aca="false">Assumptions!$B$91*H69</f>
        <v>0</v>
      </c>
      <c r="I22" s="35" t="n">
        <f aca="false">Assumptions!$B$91*I69</f>
        <v>0</v>
      </c>
      <c r="J22" s="35" t="n">
        <f aca="false">Assumptions!$B$91*J69</f>
        <v>0</v>
      </c>
      <c r="K22" s="35" t="n">
        <f aca="false">Assumptions!$B$91*K69</f>
        <v>26200</v>
      </c>
      <c r="L22" s="35" t="n">
        <f aca="false">Assumptions!$B$91*L69</f>
        <v>0</v>
      </c>
      <c r="M22" s="35" t="n">
        <f aca="false">Assumptions!$B$91*M69</f>
        <v>0</v>
      </c>
      <c r="N22" s="35" t="n">
        <f aca="false">Assumptions!$B$91*N69</f>
        <v>0</v>
      </c>
      <c r="O22" s="35" t="n">
        <f aca="false">Assumptions!$B$91*O69</f>
        <v>26200</v>
      </c>
      <c r="P22" s="35" t="n">
        <f aca="false">SUM(C22:O22)</f>
        <v>78600</v>
      </c>
      <c r="Q22" s="63" t="n">
        <f aca="false">AVERAGE(C22:O22)</f>
        <v>6046.15384615385</v>
      </c>
    </row>
    <row r="23" customFormat="false" ht="15" hidden="false" customHeight="true" outlineLevel="0" collapsed="false">
      <c r="A23" s="27" t="s">
        <v>269</v>
      </c>
      <c r="B23" s="62" t="s">
        <v>270</v>
      </c>
      <c r="C23" s="35" t="n">
        <f aca="false">Assumptions!$B$45*C64</f>
        <v>0</v>
      </c>
      <c r="D23" s="35" t="n">
        <f aca="false">Assumptions!$B$45*D64</f>
        <v>0</v>
      </c>
      <c r="E23" s="35" t="n">
        <f aca="false">Assumptions!$B$45*E64</f>
        <v>0</v>
      </c>
      <c r="F23" s="35" t="n">
        <f aca="false">Assumptions!$B$45*F64</f>
        <v>0</v>
      </c>
      <c r="G23" s="35" t="n">
        <f aca="false">Assumptions!$B$45*G64</f>
        <v>22000</v>
      </c>
      <c r="H23" s="35" t="n">
        <f aca="false">Assumptions!$B$45*H64</f>
        <v>0</v>
      </c>
      <c r="I23" s="35" t="n">
        <f aca="false">Assumptions!$B$45*I64</f>
        <v>0</v>
      </c>
      <c r="J23" s="35" t="n">
        <f aca="false">Assumptions!$B$45*J64</f>
        <v>0</v>
      </c>
      <c r="K23" s="35" t="n">
        <f aca="false">Assumptions!$B$45*K64</f>
        <v>22000</v>
      </c>
      <c r="L23" s="35" t="n">
        <f aca="false">Assumptions!$B$45*L64</f>
        <v>0</v>
      </c>
      <c r="M23" s="35" t="n">
        <f aca="false">Assumptions!$B$45*M64</f>
        <v>0</v>
      </c>
      <c r="N23" s="35" t="n">
        <f aca="false">Assumptions!$B$45*N64</f>
        <v>0</v>
      </c>
      <c r="O23" s="35" t="n">
        <f aca="false">Assumptions!$B$45*O64</f>
        <v>22000</v>
      </c>
      <c r="P23" s="35" t="n">
        <f aca="false">SUM(C23:O23)</f>
        <v>66000</v>
      </c>
      <c r="Q23" s="63" t="n">
        <f aca="false">AVERAGE(C23:O23)</f>
        <v>5076.92307692308</v>
      </c>
    </row>
    <row r="24" customFormat="false" ht="15" hidden="false" customHeight="true" outlineLevel="0" collapsed="false">
      <c r="A24" s="27" t="s">
        <v>271</v>
      </c>
      <c r="B24" s="62" t="s">
        <v>272</v>
      </c>
      <c r="C24" s="35" t="n">
        <f aca="false">C73*Assumptions!$B$39+Assumptions!$B$61*C66</f>
        <v>1882.188</v>
      </c>
      <c r="D24" s="35" t="n">
        <f aca="false">D73*Assumptions!$B$39+Assumptions!$B$61*D66</f>
        <v>6537.42</v>
      </c>
      <c r="E24" s="35" t="n">
        <f aca="false">E73*Assumptions!$B$39+Assumptions!$B$61*E66</f>
        <v>1862.784</v>
      </c>
      <c r="F24" s="35" t="n">
        <f aca="false">F73*Assumptions!$B$39+Assumptions!$B$61*F66</f>
        <v>1843.38</v>
      </c>
      <c r="G24" s="35" t="n">
        <f aca="false">G73*Assumptions!$B$39+Assumptions!$B$61*G66</f>
        <v>1920.996</v>
      </c>
      <c r="H24" s="35" t="n">
        <f aca="false">H73*Assumptions!$B$39+Assumptions!$B$61*H66</f>
        <v>6479.208</v>
      </c>
      <c r="I24" s="35" t="n">
        <f aca="false">I73*Assumptions!$B$39+Assumptions!$B$61*I66</f>
        <v>2018.016</v>
      </c>
      <c r="J24" s="35" t="n">
        <f aca="false">J73*Assumptions!$B$39+Assumptions!$B$61*J66</f>
        <v>2056.824</v>
      </c>
      <c r="K24" s="35" t="n">
        <f aca="false">K73*Assumptions!$B$39+Assumptions!$B$61*K66</f>
        <v>2037.42</v>
      </c>
      <c r="L24" s="35" t="n">
        <f aca="false">L73*Assumptions!$B$39+Assumptions!$B$61*L66</f>
        <v>6595.632</v>
      </c>
      <c r="M24" s="35" t="n">
        <f aca="false">M73*Assumptions!$B$39+Assumptions!$B$61*M66</f>
        <v>2173.248</v>
      </c>
      <c r="N24" s="35" t="n">
        <f aca="false">N73*Assumptions!$B$39+Assumptions!$B$61*N66</f>
        <v>2231.46</v>
      </c>
      <c r="O24" s="35" t="n">
        <f aca="false">O73*Assumptions!$B$39+Assumptions!$B$61*O66</f>
        <v>2328.48</v>
      </c>
      <c r="P24" s="35" t="n">
        <f aca="false">SUM(C24:O24)</f>
        <v>39967.056</v>
      </c>
      <c r="Q24" s="63" t="n">
        <f aca="false">AVERAGE(C24:O24)</f>
        <v>3074.38892307692</v>
      </c>
    </row>
    <row r="25" customFormat="false" ht="15" hidden="false" customHeight="true" outlineLevel="0" collapsed="false">
      <c r="A25" s="27" t="s">
        <v>273</v>
      </c>
      <c r="B25" s="62" t="s">
        <v>274</v>
      </c>
      <c r="C25" s="35" t="n">
        <f aca="false">C73*Assumptions!$B$38+C75*Assumptions!$B$42</f>
        <v>1472.398</v>
      </c>
      <c r="D25" s="35" t="n">
        <f aca="false">D73*Assumptions!$B$38+D75*Assumptions!$B$42</f>
        <v>1589.22</v>
      </c>
      <c r="E25" s="35" t="n">
        <f aca="false">E73*Assumptions!$B$38+E75*Assumptions!$B$42</f>
        <v>1457.2065</v>
      </c>
      <c r="F25" s="35" t="n">
        <f aca="false">F73*Assumptions!$B$38+F75*Assumptions!$B$42</f>
        <v>1442.015</v>
      </c>
      <c r="G25" s="35" t="n">
        <f aca="false">G73*Assumptions!$B$38+G75*Assumptions!$B$42</f>
        <v>1501.6035</v>
      </c>
      <c r="H25" s="35" t="n">
        <f aca="false">H73*Assumptions!$B$38+H75*Assumptions!$B$42</f>
        <v>1547.178</v>
      </c>
      <c r="I25" s="35" t="n">
        <f aca="false">I73*Assumptions!$B$38+I75*Assumptions!$B$42</f>
        <v>1577.561</v>
      </c>
      <c r="J25" s="35" t="n">
        <f aca="false">J73*Assumptions!$B$38+J75*Assumptions!$B$42</f>
        <v>1606.7665</v>
      </c>
      <c r="K25" s="35" t="n">
        <f aca="false">K73*Assumptions!$B$38+K75*Assumptions!$B$42</f>
        <v>1590.3975</v>
      </c>
      <c r="L25" s="35" t="n">
        <f aca="false">L73*Assumptions!$B$38+L75*Assumptions!$B$42</f>
        <v>1637.1495</v>
      </c>
      <c r="M25" s="35" t="n">
        <f aca="false">M73*Assumptions!$B$38+M75*Assumptions!$B$42</f>
        <v>1696.738</v>
      </c>
      <c r="N25" s="35" t="n">
        <f aca="false">N73*Assumptions!$B$38+N75*Assumptions!$B$42</f>
        <v>1741.135</v>
      </c>
      <c r="O25" s="35" t="n">
        <f aca="false">O73*Assumptions!$B$38+O75*Assumptions!$B$42</f>
        <v>1813.56</v>
      </c>
      <c r="P25" s="35" t="n">
        <f aca="false">SUM(C25:O25)</f>
        <v>20672.9285</v>
      </c>
      <c r="Q25" s="63" t="n">
        <f aca="false">AVERAGE(C25:O25)</f>
        <v>1590.22526923077</v>
      </c>
    </row>
    <row r="26" customFormat="false" ht="15" hidden="false" customHeight="true" outlineLevel="0" collapsed="false">
      <c r="A26" s="27" t="s">
        <v>275</v>
      </c>
      <c r="B26" s="62" t="s">
        <v>274</v>
      </c>
      <c r="C26" s="35" t="n">
        <f aca="false">C72*Assumptions!$B$33+C73*Assumptions!$B$34+C74*Assumptions!$B$35</f>
        <v>932.785</v>
      </c>
      <c r="D26" s="35" t="n">
        <f aca="false">D72*Assumptions!$B$33+D73*Assumptions!$B$34+D74*Assumptions!$B$35</f>
        <v>1469.77608</v>
      </c>
      <c r="E26" s="35" t="n">
        <f aca="false">E72*Assumptions!$B$33+E73*Assumptions!$B$34+E74*Assumptions!$B$35</f>
        <v>916.22832</v>
      </c>
      <c r="F26" s="35" t="n">
        <f aca="false">F72*Assumptions!$B$33+F73*Assumptions!$B$34+F74*Assumptions!$B$35</f>
        <v>903.1064</v>
      </c>
      <c r="G26" s="35" t="n">
        <f aca="false">G72*Assumptions!$B$33+G73*Assumptions!$B$34+G74*Assumptions!$B$35</f>
        <v>938.42028</v>
      </c>
      <c r="H26" s="35" t="n">
        <f aca="false">H72*Assumptions!$B$33+H73*Assumptions!$B$34+H74*Assumptions!$B$35</f>
        <v>970.91652</v>
      </c>
      <c r="I26" s="35" t="n">
        <f aca="false">I72*Assumptions!$B$33+I73*Assumptions!$B$34+I74*Assumptions!$B$35</f>
        <v>1347.5816</v>
      </c>
      <c r="J26" s="35" t="n">
        <f aca="false">J72*Assumptions!$B$33+J73*Assumptions!$B$34+J74*Assumptions!$B$35</f>
        <v>1013.09992</v>
      </c>
      <c r="K26" s="35" t="n">
        <f aca="false">K72*Assumptions!$B$33+K73*Assumptions!$B$34+K74*Assumptions!$B$35</f>
        <v>993.10848</v>
      </c>
      <c r="L26" s="35" t="n">
        <f aca="false">L72*Assumptions!$B$33+L73*Assumptions!$B$34+L74*Assumptions!$B$35</f>
        <v>1029.03948</v>
      </c>
      <c r="M26" s="35" t="n">
        <f aca="false">M72*Assumptions!$B$33+M73*Assumptions!$B$34+M74*Assumptions!$B$35</f>
        <v>1683.60136</v>
      </c>
      <c r="N26" s="35" t="n">
        <f aca="false">N72*Assumptions!$B$33+N73*Assumptions!$B$34+N74*Assumptions!$B$35</f>
        <v>1096.8496</v>
      </c>
      <c r="O26" s="35" t="n">
        <f aca="false">O72*Assumptions!$B$33+O73*Assumptions!$B$34+O74*Assumptions!$B$35</f>
        <v>1628.40264</v>
      </c>
      <c r="P26" s="35" t="n">
        <f aca="false">SUM(C26:O26)</f>
        <v>14922.91568</v>
      </c>
      <c r="Q26" s="63" t="n">
        <f aca="false">AVERAGE(C26:O26)</f>
        <v>1147.91659076923</v>
      </c>
    </row>
    <row r="27" customFormat="false" ht="15" hidden="false" customHeight="true" outlineLevel="0" collapsed="false">
      <c r="A27" s="27" t="s">
        <v>276</v>
      </c>
      <c r="B27" s="62" t="s">
        <v>277</v>
      </c>
      <c r="C27" s="35" t="n">
        <f aca="false">C74*Assumptions!$B$40</f>
        <v>0</v>
      </c>
      <c r="D27" s="35" t="n">
        <f aca="false">D74*Assumptions!$B$40</f>
        <v>4190.4</v>
      </c>
      <c r="E27" s="35" t="n">
        <f aca="false">E74*Assumptions!$B$40</f>
        <v>0</v>
      </c>
      <c r="F27" s="35" t="n">
        <f aca="false">F74*Assumptions!$B$40</f>
        <v>0</v>
      </c>
      <c r="G27" s="35" t="n">
        <f aca="false">G74*Assumptions!$B$40</f>
        <v>0</v>
      </c>
      <c r="H27" s="35" t="n">
        <f aca="false">H74*Assumptions!$B$40</f>
        <v>0</v>
      </c>
      <c r="I27" s="35" t="n">
        <f aca="false">I74*Assumptions!$B$40</f>
        <v>3352.32</v>
      </c>
      <c r="J27" s="35" t="n">
        <f aca="false">J74*Assumptions!$B$40</f>
        <v>0</v>
      </c>
      <c r="K27" s="35" t="n">
        <f aca="false">K74*Assumptions!$B$40</f>
        <v>0</v>
      </c>
      <c r="L27" s="35" t="n">
        <f aca="false">L74*Assumptions!$B$40</f>
        <v>0</v>
      </c>
      <c r="M27" s="35" t="n">
        <f aca="false">M74*Assumptions!$B$40</f>
        <v>5866.56</v>
      </c>
      <c r="N27" s="35" t="n">
        <f aca="false">N74*Assumptions!$B$40</f>
        <v>0</v>
      </c>
      <c r="O27" s="35" t="n">
        <f aca="false">O74*Assumptions!$B$40</f>
        <v>4609.44</v>
      </c>
      <c r="P27" s="35" t="n">
        <f aca="false">SUM(C27:O27)</f>
        <v>18018.72</v>
      </c>
      <c r="Q27" s="63" t="n">
        <f aca="false">AVERAGE(C27:O27)</f>
        <v>1386.05538461538</v>
      </c>
    </row>
    <row r="28" customFormat="false" ht="15" hidden="false" customHeight="true" outlineLevel="0" collapsed="false">
      <c r="A28" s="27" t="s">
        <v>278</v>
      </c>
      <c r="B28" s="62" t="s">
        <v>279</v>
      </c>
      <c r="C28" s="35" t="n">
        <f aca="false">C72*Assumptions!$B$36</f>
        <v>543.837</v>
      </c>
      <c r="D28" s="35" t="n">
        <f aca="false">D72*Assumptions!$B$36</f>
        <v>618.2568</v>
      </c>
      <c r="E28" s="35" t="n">
        <f aca="false">E72*Assumptions!$B$36</f>
        <v>526.6632</v>
      </c>
      <c r="F28" s="35" t="n">
        <f aca="false">F72*Assumptions!$B$36</f>
        <v>515.214</v>
      </c>
      <c r="G28" s="35" t="n">
        <f aca="false">G72*Assumptions!$B$36</f>
        <v>532.3878</v>
      </c>
      <c r="H28" s="35" t="n">
        <f aca="false">H72*Assumptions!$B$36</f>
        <v>555.2862</v>
      </c>
      <c r="I28" s="35" t="n">
        <f aca="false">I72*Assumptions!$B$36</f>
        <v>572.46</v>
      </c>
      <c r="J28" s="35" t="n">
        <f aca="false">J72*Assumptions!$B$36</f>
        <v>583.9092</v>
      </c>
      <c r="K28" s="35" t="n">
        <f aca="false">K72*Assumptions!$B$36</f>
        <v>561.0108</v>
      </c>
      <c r="L28" s="35" t="n">
        <f aca="false">L72*Assumptions!$B$36</f>
        <v>589.6338</v>
      </c>
      <c r="M28" s="35" t="n">
        <f aca="false">M72*Assumptions!$B$36</f>
        <v>606.8076</v>
      </c>
      <c r="N28" s="35" t="n">
        <f aca="false">N72*Assumptions!$B$36</f>
        <v>629.706</v>
      </c>
      <c r="O28" s="35" t="n">
        <f aca="false">O72*Assumptions!$B$36</f>
        <v>652.6044</v>
      </c>
      <c r="P28" s="35" t="n">
        <f aca="false">SUM(C28:O28)</f>
        <v>7487.7768</v>
      </c>
      <c r="Q28" s="63" t="n">
        <f aca="false">AVERAGE(C28:O28)</f>
        <v>575.982830769231</v>
      </c>
    </row>
    <row r="29" customFormat="false" ht="15" hidden="false" customHeight="true" outlineLevel="0" collapsed="false">
      <c r="A29" s="27" t="s">
        <v>280</v>
      </c>
      <c r="B29" s="62" t="s">
        <v>281</v>
      </c>
      <c r="C29" s="35" t="n">
        <f aca="false">Assumptions!$B$47*C67</f>
        <v>0</v>
      </c>
      <c r="D29" s="35" t="n">
        <f aca="false">Assumptions!$B$47*D67</f>
        <v>2600</v>
      </c>
      <c r="E29" s="35" t="n">
        <f aca="false">Assumptions!$B$47*E67</f>
        <v>0</v>
      </c>
      <c r="F29" s="35" t="n">
        <f aca="false">Assumptions!$B$47*F67</f>
        <v>0</v>
      </c>
      <c r="G29" s="35" t="n">
        <f aca="false">Assumptions!$B$47*G67</f>
        <v>0</v>
      </c>
      <c r="H29" s="35" t="n">
        <f aca="false">Assumptions!$B$47*H67</f>
        <v>0</v>
      </c>
      <c r="I29" s="35" t="n">
        <f aca="false">Assumptions!$B$47*I67</f>
        <v>2600</v>
      </c>
      <c r="J29" s="35" t="n">
        <f aca="false">Assumptions!$B$47*J67</f>
        <v>0</v>
      </c>
      <c r="K29" s="35" t="n">
        <f aca="false">Assumptions!$B$47*K67</f>
        <v>0</v>
      </c>
      <c r="L29" s="35" t="n">
        <f aca="false">Assumptions!$B$47*L67</f>
        <v>0</v>
      </c>
      <c r="M29" s="35" t="n">
        <f aca="false">Assumptions!$B$47*M67</f>
        <v>2600</v>
      </c>
      <c r="N29" s="35" t="n">
        <f aca="false">Assumptions!$B$47*N67</f>
        <v>0</v>
      </c>
      <c r="O29" s="35" t="n">
        <f aca="false">Assumptions!$B$47*O67</f>
        <v>0</v>
      </c>
      <c r="P29" s="35" t="n">
        <f aca="false">SUM(C29:O29)</f>
        <v>7800</v>
      </c>
      <c r="Q29" s="63" t="n">
        <f aca="false">AVERAGE(C29:O29)</f>
        <v>600</v>
      </c>
    </row>
    <row r="30" customFormat="false" ht="15" hidden="false" customHeight="true" outlineLevel="0" collapsed="false">
      <c r="A30" s="27" t="s">
        <v>282</v>
      </c>
      <c r="B30" s="62" t="s">
        <v>283</v>
      </c>
      <c r="C30" s="35" t="n">
        <f aca="false">Assumptions!$B$92*C66</f>
        <v>0</v>
      </c>
      <c r="D30" s="35" t="n">
        <f aca="false">Assumptions!$B$92*D66</f>
        <v>2450</v>
      </c>
      <c r="E30" s="35" t="n">
        <f aca="false">Assumptions!$B$92*E66</f>
        <v>0</v>
      </c>
      <c r="F30" s="35" t="n">
        <f aca="false">Assumptions!$B$92*F66</f>
        <v>0</v>
      </c>
      <c r="G30" s="35" t="n">
        <f aca="false">Assumptions!$B$92*G66</f>
        <v>0</v>
      </c>
      <c r="H30" s="35" t="n">
        <f aca="false">Assumptions!$B$92*H66</f>
        <v>2450</v>
      </c>
      <c r="I30" s="35" t="n">
        <f aca="false">Assumptions!$B$92*I66</f>
        <v>0</v>
      </c>
      <c r="J30" s="35" t="n">
        <f aca="false">Assumptions!$B$92*J66</f>
        <v>0</v>
      </c>
      <c r="K30" s="35" t="n">
        <f aca="false">Assumptions!$B$92*K66</f>
        <v>0</v>
      </c>
      <c r="L30" s="35" t="n">
        <f aca="false">Assumptions!$B$92*L66</f>
        <v>2450</v>
      </c>
      <c r="M30" s="35" t="n">
        <f aca="false">Assumptions!$B$92*M66</f>
        <v>0</v>
      </c>
      <c r="N30" s="35" t="n">
        <f aca="false">Assumptions!$B$92*N66</f>
        <v>0</v>
      </c>
      <c r="O30" s="35" t="n">
        <f aca="false">Assumptions!$B$92*O66</f>
        <v>0</v>
      </c>
      <c r="P30" s="35" t="n">
        <f aca="false">SUM(C30:O30)</f>
        <v>7350</v>
      </c>
      <c r="Q30" s="63" t="n">
        <f aca="false">AVERAGE(C30:O30)</f>
        <v>565.384615384615</v>
      </c>
    </row>
    <row r="31" customFormat="false" ht="15" hidden="false" customHeight="true" outlineLevel="0" collapsed="false">
      <c r="A31" s="27" t="s">
        <v>284</v>
      </c>
      <c r="B31" s="62" t="s">
        <v>285</v>
      </c>
      <c r="C31" s="35" t="n">
        <f aca="false">Assumptions!$B$59*C68</f>
        <v>0</v>
      </c>
      <c r="D31" s="35" t="n">
        <f aca="false">Assumptions!$B$59*D68</f>
        <v>0</v>
      </c>
      <c r="E31" s="35" t="n">
        <f aca="false">Assumptions!$B$59*E68</f>
        <v>1800</v>
      </c>
      <c r="F31" s="35" t="n">
        <f aca="false">Assumptions!$B$59*F68</f>
        <v>0</v>
      </c>
      <c r="G31" s="35" t="n">
        <f aca="false">Assumptions!$B$59*G68</f>
        <v>0</v>
      </c>
      <c r="H31" s="35" t="n">
        <f aca="false">Assumptions!$B$59*H68</f>
        <v>0</v>
      </c>
      <c r="I31" s="35" t="n">
        <f aca="false">Assumptions!$B$59*I68</f>
        <v>1800</v>
      </c>
      <c r="J31" s="35" t="n">
        <f aca="false">Assumptions!$B$59*J68</f>
        <v>0</v>
      </c>
      <c r="K31" s="35" t="n">
        <f aca="false">Assumptions!$B$59*K68</f>
        <v>0</v>
      </c>
      <c r="L31" s="35" t="n">
        <f aca="false">Assumptions!$B$59*L68</f>
        <v>0</v>
      </c>
      <c r="M31" s="35" t="n">
        <f aca="false">Assumptions!$B$59*M68</f>
        <v>0</v>
      </c>
      <c r="N31" s="35" t="n">
        <f aca="false">Assumptions!$B$59*N68</f>
        <v>1800</v>
      </c>
      <c r="O31" s="35" t="n">
        <f aca="false">Assumptions!$B$59*O68</f>
        <v>0</v>
      </c>
      <c r="P31" s="35" t="n">
        <f aca="false">SUM(C31:O31)</f>
        <v>5400</v>
      </c>
      <c r="Q31" s="63" t="n">
        <f aca="false">AVERAGE(C31:O31)</f>
        <v>415.384615384615</v>
      </c>
    </row>
    <row r="32" customFormat="false" ht="15" hidden="false" customHeight="true" outlineLevel="0" collapsed="false">
      <c r="A32" s="27" t="s">
        <v>286</v>
      </c>
      <c r="B32" s="62" t="s">
        <v>287</v>
      </c>
      <c r="C32" s="35" t="n">
        <f aca="false">IF(C$5=Assumptions!$B$88,Assumptions!$B$87,0)</f>
        <v>0</v>
      </c>
      <c r="D32" s="35" t="n">
        <f aca="false">IF(D$5=Assumptions!$B$88,Assumptions!$B$87,0)</f>
        <v>0</v>
      </c>
      <c r="E32" s="35" t="n">
        <f aca="false">IF(E$5=Assumptions!$B$88,Assumptions!$B$87,0)</f>
        <v>0</v>
      </c>
      <c r="F32" s="35" t="n">
        <f aca="false">IF(F$5=Assumptions!$B$88,Assumptions!$B$87,0)</f>
        <v>0</v>
      </c>
      <c r="G32" s="35" t="n">
        <f aca="false">IF(G$5=Assumptions!$B$88,Assumptions!$B$87,0)</f>
        <v>0</v>
      </c>
      <c r="H32" s="35" t="n">
        <f aca="false">IF(H$5=Assumptions!$B$88,Assumptions!$B$87,0)</f>
        <v>0</v>
      </c>
      <c r="I32" s="35" t="n">
        <f aca="false">IF(I$5=Assumptions!$B$88,Assumptions!$B$87,0)</f>
        <v>0</v>
      </c>
      <c r="J32" s="35" t="n">
        <f aca="false">IF(J$5=Assumptions!$B$88,Assumptions!$B$87,0)</f>
        <v>0</v>
      </c>
      <c r="K32" s="35" t="n">
        <f aca="false">IF(K$5=Assumptions!$B$88,Assumptions!$B$87,0)</f>
        <v>26500</v>
      </c>
      <c r="L32" s="35" t="n">
        <f aca="false">IF(L$5=Assumptions!$B$88,Assumptions!$B$87,0)</f>
        <v>0</v>
      </c>
      <c r="M32" s="35" t="n">
        <f aca="false">IF(M$5=Assumptions!$B$88,Assumptions!$B$87,0)</f>
        <v>0</v>
      </c>
      <c r="N32" s="35" t="n">
        <f aca="false">IF(N$5=Assumptions!$B$88,Assumptions!$B$87,0)</f>
        <v>0</v>
      </c>
      <c r="O32" s="35" t="n">
        <f aca="false">IF(O$5=Assumptions!$B$88,Assumptions!$B$87,0)</f>
        <v>0</v>
      </c>
      <c r="P32" s="35" t="n">
        <f aca="false">SUM(C32:O32)</f>
        <v>26500</v>
      </c>
      <c r="Q32" s="63" t="n">
        <f aca="false">AVERAGE(C32:O32)</f>
        <v>2038.46153846154</v>
      </c>
    </row>
    <row r="33" customFormat="false" ht="15" hidden="false" customHeight="true" outlineLevel="0" collapsed="false">
      <c r="A33" s="27" t="s">
        <v>288</v>
      </c>
      <c r="B33" s="62" t="s">
        <v>289</v>
      </c>
      <c r="C33" s="35" t="n">
        <f aca="false">Assumptions!$B$86*C65</f>
        <v>4200</v>
      </c>
      <c r="D33" s="35" t="n">
        <f aca="false">Assumptions!$B$86*D65</f>
        <v>0</v>
      </c>
      <c r="E33" s="35" t="n">
        <f aca="false">Assumptions!$B$86*E65</f>
        <v>0</v>
      </c>
      <c r="F33" s="35" t="n">
        <f aca="false">Assumptions!$B$86*F65</f>
        <v>0</v>
      </c>
      <c r="G33" s="35" t="n">
        <f aca="false">Assumptions!$B$86*G65</f>
        <v>4200</v>
      </c>
      <c r="H33" s="35" t="n">
        <f aca="false">Assumptions!$B$86*H65</f>
        <v>0</v>
      </c>
      <c r="I33" s="35" t="n">
        <f aca="false">Assumptions!$B$86*I65</f>
        <v>0</v>
      </c>
      <c r="J33" s="35" t="n">
        <f aca="false">Assumptions!$B$86*J65</f>
        <v>0</v>
      </c>
      <c r="K33" s="35" t="n">
        <f aca="false">Assumptions!$B$86*K65</f>
        <v>0</v>
      </c>
      <c r="L33" s="35" t="n">
        <f aca="false">Assumptions!$B$86*L65</f>
        <v>4200</v>
      </c>
      <c r="M33" s="35" t="n">
        <f aca="false">Assumptions!$B$86*M65</f>
        <v>0</v>
      </c>
      <c r="N33" s="35" t="n">
        <f aca="false">Assumptions!$B$86*N65</f>
        <v>0</v>
      </c>
      <c r="O33" s="35" t="n">
        <f aca="false">Assumptions!$B$86*O65</f>
        <v>0</v>
      </c>
      <c r="P33" s="35" t="n">
        <f aca="false">SUM(C33:O33)</f>
        <v>12600</v>
      </c>
      <c r="Q33" s="63" t="n">
        <f aca="false">AVERAGE(C33:O33)</f>
        <v>969.230769230769</v>
      </c>
    </row>
    <row r="34" customFormat="false" ht="15" hidden="false" customHeight="true" outlineLevel="0" collapsed="false">
      <c r="A34" s="27" t="s">
        <v>290</v>
      </c>
      <c r="B34" s="62" t="s">
        <v>291</v>
      </c>
      <c r="C34" s="35" t="n">
        <f aca="false">Assumptions!$B$93*C64+C72*Assumptions!$B$37</f>
        <v>145.0232</v>
      </c>
      <c r="D34" s="35" t="n">
        <f aca="false">Assumptions!$B$93*D64+D72*Assumptions!$B$37</f>
        <v>164.86848</v>
      </c>
      <c r="E34" s="35" t="n">
        <f aca="false">Assumptions!$B$93*E64+E72*Assumptions!$B$37</f>
        <v>140.44352</v>
      </c>
      <c r="F34" s="35" t="n">
        <f aca="false">Assumptions!$B$93*F64+F72*Assumptions!$B$37</f>
        <v>137.3904</v>
      </c>
      <c r="G34" s="35" t="n">
        <f aca="false">Assumptions!$B$93*G64+G72*Assumptions!$B$37</f>
        <v>2541.97008</v>
      </c>
      <c r="H34" s="35" t="n">
        <f aca="false">Assumptions!$B$93*H64+H72*Assumptions!$B$37</f>
        <v>148.07632</v>
      </c>
      <c r="I34" s="35" t="n">
        <f aca="false">Assumptions!$B$93*I64+I72*Assumptions!$B$37</f>
        <v>152.656</v>
      </c>
      <c r="J34" s="35" t="n">
        <f aca="false">Assumptions!$B$93*J64+J72*Assumptions!$B$37</f>
        <v>155.70912</v>
      </c>
      <c r="K34" s="35" t="n">
        <f aca="false">Assumptions!$B$93*K64+K72*Assumptions!$B$37</f>
        <v>2549.60288</v>
      </c>
      <c r="L34" s="35" t="n">
        <f aca="false">Assumptions!$B$93*L64+L72*Assumptions!$B$37</f>
        <v>157.23568</v>
      </c>
      <c r="M34" s="35" t="n">
        <f aca="false">Assumptions!$B$93*M64+M72*Assumptions!$B$37</f>
        <v>161.81536</v>
      </c>
      <c r="N34" s="35" t="n">
        <f aca="false">Assumptions!$B$93*N64+N72*Assumptions!$B$37</f>
        <v>167.9216</v>
      </c>
      <c r="O34" s="35" t="n">
        <f aca="false">Assumptions!$B$93*O64+O72*Assumptions!$B$37</f>
        <v>2574.02784</v>
      </c>
      <c r="P34" s="35" t="n">
        <f aca="false">SUM(C34:O34)</f>
        <v>9196.74048</v>
      </c>
      <c r="Q34" s="63" t="n">
        <f aca="false">AVERAGE(C34:O34)</f>
        <v>707.441575384615</v>
      </c>
    </row>
    <row r="35" customFormat="false" ht="16.5" hidden="false" customHeight="true" outlineLevel="0" collapsed="false">
      <c r="A35" s="59" t="s">
        <v>292</v>
      </c>
      <c r="B35" s="64"/>
      <c r="C35" s="61" t="n">
        <f aca="false">SUM(C20:C34)</f>
        <v>20192.40204</v>
      </c>
      <c r="D35" s="61" t="n">
        <f aca="false">SUM(D20:D34)</f>
        <v>90574.266576</v>
      </c>
      <c r="E35" s="61" t="n">
        <f aca="false">SUM(E20:E34)</f>
        <v>17511.813924</v>
      </c>
      <c r="F35" s="61" t="n">
        <f aca="false">SUM(F20:F34)</f>
        <v>15488.39548</v>
      </c>
      <c r="G35" s="61" t="n">
        <f aca="false">SUM(G20:G34)</f>
        <v>135376.831396</v>
      </c>
      <c r="H35" s="61" t="n">
        <f aca="false">SUM(H20:H34)</f>
        <v>23582.747384</v>
      </c>
      <c r="I35" s="61" t="n">
        <f aca="false">SUM(I20:I34)</f>
        <v>29017.2818</v>
      </c>
      <c r="J35" s="61" t="n">
        <f aca="false">SUM(J20:J34)</f>
        <v>99335.522644</v>
      </c>
      <c r="K35" s="61" t="n">
        <f aca="false">SUM(K20:K34)</f>
        <v>112578.375356</v>
      </c>
      <c r="L35" s="61" t="n">
        <f aca="false">SUM(L20:L34)</f>
        <v>28760.850516</v>
      </c>
      <c r="M35" s="61" t="n">
        <f aca="false">SUM(M20:M34)</f>
        <v>87090.304032</v>
      </c>
      <c r="N35" s="61" t="n">
        <f aca="false">SUM(N20:N34)</f>
        <v>20535.81292</v>
      </c>
      <c r="O35" s="61" t="n">
        <f aca="false">SUM(O20:O34)</f>
        <v>98994.661008</v>
      </c>
      <c r="P35" s="61" t="n">
        <f aca="false">SUM(C35:O35)</f>
        <v>779039.265076</v>
      </c>
      <c r="Q35" s="61" t="n">
        <f aca="false">AVERAGE(C35:O35)</f>
        <v>59926.0973135385</v>
      </c>
    </row>
    <row r="36" customFormat="false" ht="6" hidden="false" customHeight="true" outlineLevel="0" collapsed="false">
      <c r="A36" s="3"/>
      <c r="B36" s="3"/>
      <c r="C36" s="3"/>
      <c r="D36" s="3"/>
      <c r="E36" s="3"/>
      <c r="F36" s="3"/>
      <c r="G36" s="3"/>
      <c r="H36" s="3"/>
      <c r="I36" s="3"/>
      <c r="J36" s="3"/>
      <c r="K36" s="3"/>
      <c r="L36" s="3"/>
      <c r="M36" s="3"/>
      <c r="N36" s="3"/>
      <c r="O36" s="3"/>
      <c r="P36" s="3"/>
      <c r="Q36" s="3"/>
    </row>
    <row r="37" customFormat="false" ht="18" hidden="false" customHeight="true" outlineLevel="0" collapsed="false">
      <c r="A37" s="14" t="s">
        <v>293</v>
      </c>
      <c r="B37" s="14"/>
      <c r="C37" s="14"/>
      <c r="D37" s="14"/>
      <c r="E37" s="14"/>
      <c r="F37" s="14"/>
      <c r="G37" s="14"/>
      <c r="H37" s="14"/>
      <c r="I37" s="14"/>
      <c r="J37" s="14"/>
      <c r="K37" s="14"/>
      <c r="L37" s="14"/>
      <c r="M37" s="14"/>
      <c r="N37" s="14"/>
      <c r="O37" s="14"/>
      <c r="P37" s="14"/>
      <c r="Q37" s="14"/>
    </row>
    <row r="38" customFormat="false" ht="15.75" hidden="false" customHeight="true" outlineLevel="0" collapsed="false">
      <c r="A38" s="65" t="s">
        <v>294</v>
      </c>
      <c r="B38" s="23"/>
      <c r="C38" s="66" t="n">
        <f aca="false">C17-C35</f>
        <v>24516.48596</v>
      </c>
      <c r="D38" s="66" t="n">
        <f aca="false">D17-D35</f>
        <v>-19009.879376</v>
      </c>
      <c r="E38" s="66" t="n">
        <f aca="false">E17-E35</f>
        <v>26771.535676</v>
      </c>
      <c r="F38" s="66" t="n">
        <f aca="false">F17-F35</f>
        <v>27725.27572</v>
      </c>
      <c r="G38" s="66" t="n">
        <f aca="false">G17-G35</f>
        <v>-91186.128196</v>
      </c>
      <c r="H38" s="66" t="n">
        <f aca="false">H17-H35</f>
        <v>22254.910216</v>
      </c>
      <c r="I38" s="66" t="n">
        <f aca="false">I17-I35</f>
        <v>36220.8914</v>
      </c>
      <c r="J38" s="66" t="n">
        <f aca="false">J17-J35</f>
        <v>-51948.193844</v>
      </c>
      <c r="K38" s="66" t="n">
        <f aca="false">K17-K35</f>
        <v>-65816.462956</v>
      </c>
      <c r="L38" s="66" t="n">
        <f aca="false">L17-L35</f>
        <v>19500.061484</v>
      </c>
      <c r="M38" s="66" t="n">
        <f aca="false">M17-M35</f>
        <v>-4694.44083200001</v>
      </c>
      <c r="N38" s="66" t="n">
        <f aca="false">N17-N35</f>
        <v>30750.15468</v>
      </c>
      <c r="O38" s="66" t="n">
        <f aca="false">O17-O35</f>
        <v>-20433.993408</v>
      </c>
      <c r="P38" s="66" t="n">
        <f aca="false">SUM(C38:O38)</f>
        <v>-65349.783476</v>
      </c>
      <c r="Q38" s="66" t="n">
        <f aca="false">AVERAGE(C38:O38)</f>
        <v>-5026.90642123077</v>
      </c>
    </row>
    <row r="39" customFormat="false" ht="19.5" hidden="false" customHeight="true" outlineLevel="0" collapsed="false">
      <c r="A39" s="67" t="s">
        <v>295</v>
      </c>
      <c r="B39" s="68"/>
      <c r="C39" s="69" t="n">
        <f aca="false">C9+C38</f>
        <v>229516.48596</v>
      </c>
      <c r="D39" s="69" t="n">
        <f aca="false">D9+D38</f>
        <v>210506.606584</v>
      </c>
      <c r="E39" s="69" t="n">
        <f aca="false">E9+E38</f>
        <v>237278.14226</v>
      </c>
      <c r="F39" s="69" t="n">
        <f aca="false">F9+F38</f>
        <v>265003.41798</v>
      </c>
      <c r="G39" s="69" t="n">
        <f aca="false">G9+G38</f>
        <v>173817.289784</v>
      </c>
      <c r="H39" s="69" t="n">
        <f aca="false">H9+H38</f>
        <v>196072.2</v>
      </c>
      <c r="I39" s="69" t="n">
        <f aca="false">I9+I38</f>
        <v>232293.0914</v>
      </c>
      <c r="J39" s="69" t="n">
        <f aca="false">J9+J38</f>
        <v>180344.897556</v>
      </c>
      <c r="K39" s="69" t="n">
        <f aca="false">K9+K38</f>
        <v>114528.4346</v>
      </c>
      <c r="L39" s="69" t="n">
        <f aca="false">L9+L38</f>
        <v>134028.496084</v>
      </c>
      <c r="M39" s="69" t="n">
        <f aca="false">M9+M38</f>
        <v>129334.055252</v>
      </c>
      <c r="N39" s="69" t="n">
        <f aca="false">N9+N38</f>
        <v>160084.209932</v>
      </c>
      <c r="O39" s="69" t="n">
        <f aca="false">O9+O38</f>
        <v>139650.216524</v>
      </c>
      <c r="P39" s="70"/>
      <c r="Q39" s="70"/>
    </row>
    <row r="40" customFormat="false" ht="15" hidden="false" customHeight="true" outlineLevel="0" collapsed="false">
      <c r="A40" s="46" t="s">
        <v>296</v>
      </c>
      <c r="B40" s="23"/>
      <c r="C40" s="71" t="n">
        <f aca="false">Assumptions!$B$13</f>
        <v>120000</v>
      </c>
      <c r="D40" s="71" t="n">
        <f aca="false">Assumptions!$B$13</f>
        <v>120000</v>
      </c>
      <c r="E40" s="71" t="n">
        <f aca="false">Assumptions!$B$13</f>
        <v>120000</v>
      </c>
      <c r="F40" s="71" t="n">
        <f aca="false">Assumptions!$B$13</f>
        <v>120000</v>
      </c>
      <c r="G40" s="71" t="n">
        <f aca="false">Assumptions!$B$13</f>
        <v>120000</v>
      </c>
      <c r="H40" s="71" t="n">
        <f aca="false">Assumptions!$B$13</f>
        <v>120000</v>
      </c>
      <c r="I40" s="71" t="n">
        <f aca="false">Assumptions!$B$13</f>
        <v>120000</v>
      </c>
      <c r="J40" s="71" t="n">
        <f aca="false">Assumptions!$B$13</f>
        <v>120000</v>
      </c>
      <c r="K40" s="71" t="n">
        <f aca="false">Assumptions!$B$13</f>
        <v>120000</v>
      </c>
      <c r="L40" s="71" t="n">
        <f aca="false">Assumptions!$B$13</f>
        <v>120000</v>
      </c>
      <c r="M40" s="71" t="n">
        <f aca="false">Assumptions!$B$13</f>
        <v>120000</v>
      </c>
      <c r="N40" s="71" t="n">
        <f aca="false">Assumptions!$B$13</f>
        <v>120000</v>
      </c>
      <c r="O40" s="71" t="n">
        <f aca="false">Assumptions!$B$13</f>
        <v>120000</v>
      </c>
      <c r="P40" s="3"/>
      <c r="Q40" s="3"/>
    </row>
    <row r="41" customFormat="false" ht="15.75" hidden="false" customHeight="true" outlineLevel="0" collapsed="false">
      <c r="A41" s="65" t="s">
        <v>297</v>
      </c>
      <c r="B41" s="23"/>
      <c r="C41" s="66" t="n">
        <f aca="false">C39-C40</f>
        <v>109516.48596</v>
      </c>
      <c r="D41" s="66" t="n">
        <f aca="false">D39-D40</f>
        <v>90506.606584</v>
      </c>
      <c r="E41" s="66" t="n">
        <f aca="false">E39-E40</f>
        <v>117278.14226</v>
      </c>
      <c r="F41" s="66" t="n">
        <f aca="false">F39-F40</f>
        <v>145003.41798</v>
      </c>
      <c r="G41" s="66" t="n">
        <f aca="false">G39-G40</f>
        <v>53817.289784</v>
      </c>
      <c r="H41" s="66" t="n">
        <f aca="false">H39-H40</f>
        <v>76072.2</v>
      </c>
      <c r="I41" s="66" t="n">
        <f aca="false">I39-I40</f>
        <v>112293.0914</v>
      </c>
      <c r="J41" s="66" t="n">
        <f aca="false">J39-J40</f>
        <v>60344.897556</v>
      </c>
      <c r="K41" s="66" t="n">
        <f aca="false">K39-K40</f>
        <v>-5471.56540000002</v>
      </c>
      <c r="L41" s="66" t="n">
        <f aca="false">L39-L40</f>
        <v>14028.496084</v>
      </c>
      <c r="M41" s="66" t="n">
        <f aca="false">M39-M40</f>
        <v>9334.05525199998</v>
      </c>
      <c r="N41" s="66" t="n">
        <f aca="false">N39-N40</f>
        <v>40084.209932</v>
      </c>
      <c r="O41" s="66" t="n">
        <f aca="false">O39-O40</f>
        <v>19650.216524</v>
      </c>
      <c r="P41" s="3"/>
      <c r="Q41" s="3"/>
    </row>
    <row r="42" customFormat="false" ht="6" hidden="false" customHeight="true" outlineLevel="0" collapsed="false">
      <c r="A42" s="3"/>
      <c r="B42" s="3"/>
      <c r="C42" s="3"/>
      <c r="D42" s="3"/>
      <c r="E42" s="3"/>
      <c r="F42" s="3"/>
      <c r="G42" s="3"/>
      <c r="H42" s="3"/>
      <c r="I42" s="3"/>
      <c r="J42" s="3"/>
      <c r="K42" s="3"/>
      <c r="L42" s="3"/>
      <c r="M42" s="3"/>
      <c r="N42" s="3"/>
      <c r="O42" s="3"/>
      <c r="P42" s="3"/>
      <c r="Q42" s="3"/>
    </row>
    <row r="43" customFormat="false" ht="18" hidden="false" customHeight="true" outlineLevel="0" collapsed="false">
      <c r="A43" s="14" t="s">
        <v>298</v>
      </c>
      <c r="B43" s="14"/>
      <c r="C43" s="14"/>
      <c r="D43" s="14"/>
      <c r="E43" s="14"/>
      <c r="F43" s="14"/>
      <c r="G43" s="14"/>
      <c r="H43" s="14"/>
      <c r="I43" s="14"/>
      <c r="J43" s="14"/>
      <c r="K43" s="14"/>
      <c r="L43" s="14"/>
      <c r="M43" s="14"/>
      <c r="N43" s="14"/>
      <c r="O43" s="14"/>
      <c r="P43" s="14"/>
      <c r="Q43" s="14"/>
    </row>
    <row r="44" customFormat="false" ht="15" hidden="false" customHeight="true" outlineLevel="0" collapsed="false">
      <c r="A44" s="27" t="s">
        <v>299</v>
      </c>
      <c r="B44" s="3"/>
      <c r="C44" s="72" t="n">
        <f aca="false">C9</f>
        <v>205000</v>
      </c>
      <c r="D44" s="3"/>
      <c r="E44" s="23" t="s">
        <v>300</v>
      </c>
      <c r="F44" s="3"/>
      <c r="G44" s="3"/>
      <c r="H44" s="3"/>
      <c r="I44" s="3"/>
      <c r="J44" s="3"/>
      <c r="K44" s="3"/>
      <c r="L44" s="3"/>
      <c r="M44" s="3"/>
      <c r="N44" s="3"/>
      <c r="O44" s="3"/>
      <c r="P44" s="3"/>
      <c r="Q44" s="3"/>
    </row>
    <row r="45" customFormat="false" ht="15" hidden="false" customHeight="true" outlineLevel="0" collapsed="false">
      <c r="A45" s="15" t="s">
        <v>301</v>
      </c>
      <c r="B45" s="3"/>
      <c r="C45" s="73" t="n">
        <f aca="false">O39</f>
        <v>139650.216524</v>
      </c>
      <c r="D45" s="3"/>
      <c r="E45" s="3"/>
      <c r="F45" s="3"/>
      <c r="G45" s="3"/>
      <c r="H45" s="3"/>
      <c r="I45" s="3"/>
      <c r="J45" s="3"/>
      <c r="K45" s="3"/>
      <c r="L45" s="3"/>
      <c r="M45" s="3"/>
      <c r="N45" s="3"/>
      <c r="O45" s="3"/>
      <c r="P45" s="3"/>
      <c r="Q45" s="3"/>
    </row>
    <row r="46" customFormat="false" ht="15" hidden="false" customHeight="true" outlineLevel="0" collapsed="false">
      <c r="A46" s="27" t="s">
        <v>302</v>
      </c>
      <c r="B46" s="3"/>
      <c r="C46" s="72" t="n">
        <f aca="false">O39-C9</f>
        <v>-65349.783476</v>
      </c>
      <c r="D46" s="3"/>
      <c r="E46" s="3"/>
      <c r="F46" s="3"/>
      <c r="G46" s="3"/>
      <c r="H46" s="3"/>
      <c r="I46" s="3"/>
      <c r="J46" s="3"/>
      <c r="K46" s="3"/>
      <c r="L46" s="3"/>
      <c r="M46" s="3"/>
      <c r="N46" s="3"/>
      <c r="O46" s="3"/>
      <c r="P46" s="3"/>
      <c r="Q46" s="3"/>
    </row>
    <row r="47" customFormat="false" ht="15" hidden="false" customHeight="true" outlineLevel="0" collapsed="false">
      <c r="A47" s="27" t="s">
        <v>303</v>
      </c>
      <c r="B47" s="3"/>
      <c r="C47" s="72" t="n">
        <f aca="false">Q38</f>
        <v>-5026.90642123077</v>
      </c>
      <c r="D47" s="3"/>
      <c r="E47" s="23" t="s">
        <v>304</v>
      </c>
      <c r="F47" s="3"/>
      <c r="G47" s="3"/>
      <c r="H47" s="3"/>
      <c r="I47" s="3"/>
      <c r="J47" s="3"/>
      <c r="K47" s="3"/>
      <c r="L47" s="3"/>
      <c r="M47" s="3"/>
      <c r="N47" s="3"/>
      <c r="O47" s="3"/>
      <c r="P47" s="3"/>
      <c r="Q47" s="3"/>
    </row>
    <row r="48" customFormat="false" ht="15" hidden="false" customHeight="true" outlineLevel="0" collapsed="false">
      <c r="A48" s="27" t="s">
        <v>263</v>
      </c>
      <c r="B48" s="3"/>
      <c r="C48" s="72" t="n">
        <f aca="false">P17</f>
        <v>713689.4816</v>
      </c>
      <c r="D48" s="3"/>
      <c r="E48" s="3"/>
      <c r="F48" s="3"/>
      <c r="G48" s="3"/>
      <c r="H48" s="3"/>
      <c r="I48" s="3"/>
      <c r="J48" s="3"/>
      <c r="K48" s="3"/>
      <c r="L48" s="3"/>
      <c r="M48" s="3"/>
      <c r="N48" s="3"/>
      <c r="O48" s="3"/>
      <c r="P48" s="3"/>
      <c r="Q48" s="3"/>
    </row>
    <row r="49" customFormat="false" ht="15" hidden="false" customHeight="true" outlineLevel="0" collapsed="false">
      <c r="A49" s="27" t="s">
        <v>292</v>
      </c>
      <c r="B49" s="3"/>
      <c r="C49" s="72" t="n">
        <f aca="false">P35</f>
        <v>779039.265076</v>
      </c>
      <c r="D49" s="3"/>
      <c r="E49" s="3"/>
      <c r="F49" s="3"/>
      <c r="G49" s="3"/>
      <c r="H49" s="3"/>
      <c r="I49" s="3"/>
      <c r="J49" s="3"/>
      <c r="K49" s="3"/>
      <c r="L49" s="3"/>
      <c r="M49" s="3"/>
      <c r="N49" s="3"/>
      <c r="O49" s="3"/>
      <c r="P49" s="3"/>
      <c r="Q49" s="3"/>
    </row>
    <row r="50" customFormat="false" ht="15" hidden="false" customHeight="true" outlineLevel="0" collapsed="false">
      <c r="A50" s="15" t="s">
        <v>305</v>
      </c>
      <c r="B50" s="3"/>
      <c r="C50" s="73" t="n">
        <f aca="false">MIN(C39:O39)</f>
        <v>114528.4346</v>
      </c>
      <c r="D50" s="3"/>
      <c r="E50" s="3"/>
      <c r="F50" s="3"/>
      <c r="G50" s="3"/>
      <c r="H50" s="3"/>
      <c r="I50" s="3"/>
      <c r="J50" s="3"/>
      <c r="K50" s="3"/>
      <c r="L50" s="3"/>
      <c r="M50" s="3"/>
      <c r="N50" s="3"/>
      <c r="O50" s="3"/>
      <c r="P50" s="3"/>
      <c r="Q50" s="3"/>
    </row>
    <row r="51" customFormat="false" ht="15" hidden="false" customHeight="true" outlineLevel="0" collapsed="false">
      <c r="A51" s="27" t="s">
        <v>306</v>
      </c>
      <c r="B51" s="3"/>
      <c r="C51" s="74" t="n">
        <f aca="false">MATCH(MIN(C39:O39),C39:O39,0)</f>
        <v>9</v>
      </c>
      <c r="D51" s="3"/>
      <c r="E51" s="3"/>
      <c r="F51" s="3"/>
      <c r="G51" s="3"/>
      <c r="H51" s="3"/>
      <c r="I51" s="3"/>
      <c r="J51" s="3"/>
      <c r="K51" s="3"/>
      <c r="L51" s="3"/>
      <c r="M51" s="3"/>
      <c r="N51" s="3"/>
      <c r="O51" s="3"/>
      <c r="P51" s="3"/>
      <c r="Q51" s="3"/>
    </row>
    <row r="52" customFormat="false" ht="15" hidden="false" customHeight="true" outlineLevel="0" collapsed="false">
      <c r="A52" s="27" t="s">
        <v>307</v>
      </c>
      <c r="B52" s="3"/>
      <c r="C52" s="75" t="n">
        <f aca="false">INDEX(C6:O6,1,C51)</f>
        <v>46293</v>
      </c>
      <c r="D52" s="3"/>
      <c r="E52" s="3"/>
      <c r="F52" s="3"/>
      <c r="G52" s="3"/>
      <c r="H52" s="3"/>
      <c r="I52" s="3"/>
      <c r="J52" s="3"/>
      <c r="K52" s="3"/>
      <c r="L52" s="3"/>
      <c r="M52" s="3"/>
      <c r="N52" s="3"/>
      <c r="O52" s="3"/>
      <c r="P52" s="3"/>
      <c r="Q52" s="3"/>
    </row>
    <row r="53" customFormat="false" ht="15" hidden="false" customHeight="true" outlineLevel="0" collapsed="false">
      <c r="A53" s="15" t="s">
        <v>308</v>
      </c>
      <c r="B53" s="3"/>
      <c r="C53" s="73" t="n">
        <f aca="false">MIN(C41:O41)</f>
        <v>-5471.56540000002</v>
      </c>
      <c r="D53" s="3"/>
      <c r="E53" s="3"/>
      <c r="F53" s="3"/>
      <c r="G53" s="3"/>
      <c r="H53" s="3"/>
      <c r="I53" s="3"/>
      <c r="J53" s="3"/>
      <c r="K53" s="3"/>
      <c r="L53" s="3"/>
      <c r="M53" s="3"/>
      <c r="N53" s="3"/>
      <c r="O53" s="3"/>
      <c r="P53" s="3"/>
      <c r="Q53" s="3"/>
    </row>
    <row r="54" customFormat="false" ht="15" hidden="false" customHeight="true" outlineLevel="0" collapsed="false">
      <c r="A54" s="27" t="s">
        <v>309</v>
      </c>
      <c r="B54" s="3"/>
      <c r="C54" s="74" t="n">
        <f aca="false">COUNTIF(C41:O41,"&lt;0")</f>
        <v>1</v>
      </c>
      <c r="D54" s="3"/>
      <c r="E54" s="3"/>
      <c r="F54" s="3"/>
      <c r="G54" s="3"/>
      <c r="H54" s="3"/>
      <c r="I54" s="3"/>
      <c r="J54" s="3"/>
      <c r="K54" s="3"/>
      <c r="L54" s="3"/>
      <c r="M54" s="3"/>
      <c r="N54" s="3"/>
      <c r="O54" s="3"/>
      <c r="P54" s="3"/>
      <c r="Q54" s="3"/>
    </row>
    <row r="55" customFormat="false" ht="15" hidden="false" customHeight="true" outlineLevel="0" collapsed="false">
      <c r="A55" s="27" t="s">
        <v>310</v>
      </c>
      <c r="B55" s="3"/>
      <c r="C55" s="76" t="n">
        <f aca="false">IF(C47&lt;0,-O39/C47,"n/a - cash generative")</f>
        <v>27.7805482780021</v>
      </c>
      <c r="D55" s="3"/>
      <c r="E55" s="23" t="s">
        <v>311</v>
      </c>
      <c r="F55" s="3"/>
      <c r="G55" s="3"/>
      <c r="H55" s="3"/>
      <c r="I55" s="3"/>
      <c r="J55" s="3"/>
      <c r="K55" s="3"/>
      <c r="L55" s="3"/>
      <c r="M55" s="3"/>
      <c r="N55" s="3"/>
      <c r="O55" s="3"/>
      <c r="P55" s="3"/>
      <c r="Q55" s="3"/>
    </row>
    <row r="56" customFormat="false" ht="15" hidden="false" customHeight="true" outlineLevel="0" collapsed="false">
      <c r="A56" s="27" t="s">
        <v>312</v>
      </c>
      <c r="B56" s="3"/>
      <c r="C56" s="76" t="n">
        <f aca="false">IF(C47&lt;0,-(O39-C40)/C47,"n/a")</f>
        <v>3.90900782258622</v>
      </c>
      <c r="D56" s="3"/>
      <c r="E56" s="3"/>
      <c r="F56" s="3"/>
      <c r="G56" s="3"/>
      <c r="H56" s="3"/>
      <c r="I56" s="3"/>
      <c r="J56" s="3"/>
      <c r="K56" s="3"/>
      <c r="L56" s="3"/>
      <c r="M56" s="3"/>
      <c r="N56" s="3"/>
      <c r="O56" s="3"/>
      <c r="P56" s="3"/>
      <c r="Q56" s="3"/>
    </row>
    <row r="57" customFormat="false" ht="15" hidden="false" customHeight="true" outlineLevel="0" collapsed="false">
      <c r="A57" s="27" t="s">
        <v>313</v>
      </c>
      <c r="B57" s="3"/>
      <c r="C57" s="72" t="n">
        <f aca="false">MAX(0,-C47)</f>
        <v>5026.90642123077</v>
      </c>
      <c r="D57" s="3"/>
      <c r="E57" s="3"/>
      <c r="F57" s="3"/>
      <c r="G57" s="3"/>
      <c r="H57" s="3"/>
      <c r="I57" s="3"/>
      <c r="J57" s="3"/>
      <c r="K57" s="3"/>
      <c r="L57" s="3"/>
      <c r="M57" s="3"/>
      <c r="N57" s="3"/>
      <c r="O57" s="3"/>
      <c r="P57" s="3"/>
      <c r="Q57" s="3"/>
    </row>
    <row r="58" customFormat="false" ht="6" hidden="false" customHeight="true" outlineLevel="0" collapsed="false">
      <c r="A58" s="3"/>
      <c r="B58" s="3"/>
      <c r="C58" s="3"/>
      <c r="D58" s="3"/>
      <c r="E58" s="3"/>
      <c r="F58" s="3"/>
      <c r="G58" s="3"/>
      <c r="H58" s="3"/>
      <c r="I58" s="3"/>
      <c r="J58" s="3"/>
      <c r="K58" s="3"/>
      <c r="L58" s="3"/>
      <c r="M58" s="3"/>
      <c r="N58" s="3"/>
      <c r="O58" s="3"/>
      <c r="P58" s="3"/>
      <c r="Q58" s="3"/>
    </row>
    <row r="59" customFormat="false" ht="15" hidden="false" customHeight="true" outlineLevel="0" collapsed="false">
      <c r="A59" s="23" t="s">
        <v>314</v>
      </c>
      <c r="B59" s="3"/>
      <c r="C59" s="3"/>
      <c r="D59" s="3"/>
      <c r="E59" s="3"/>
      <c r="F59" s="3"/>
      <c r="G59" s="3"/>
      <c r="H59" s="3"/>
      <c r="I59" s="3"/>
      <c r="J59" s="3"/>
      <c r="K59" s="3"/>
      <c r="L59" s="3"/>
      <c r="M59" s="3"/>
      <c r="N59" s="3"/>
      <c r="O59" s="3"/>
      <c r="P59" s="3"/>
      <c r="Q59" s="3"/>
    </row>
    <row r="60" customFormat="false" ht="6" hidden="false" customHeight="true" outlineLevel="0" collapsed="false">
      <c r="A60" s="3"/>
      <c r="B60" s="3"/>
      <c r="C60" s="3"/>
      <c r="D60" s="3"/>
      <c r="E60" s="3"/>
      <c r="F60" s="3"/>
      <c r="G60" s="3"/>
      <c r="H60" s="3"/>
      <c r="I60" s="3"/>
      <c r="J60" s="3"/>
      <c r="K60" s="3"/>
      <c r="L60" s="3"/>
      <c r="M60" s="3"/>
      <c r="N60" s="3"/>
      <c r="O60" s="3"/>
      <c r="P60" s="3"/>
      <c r="Q60" s="3"/>
    </row>
    <row r="61" customFormat="false" ht="6" hidden="false" customHeight="true" outlineLevel="0" collapsed="false">
      <c r="A61" s="3"/>
      <c r="B61" s="3"/>
      <c r="C61" s="3"/>
      <c r="D61" s="3"/>
      <c r="E61" s="3"/>
      <c r="F61" s="3"/>
      <c r="G61" s="3"/>
      <c r="H61" s="3"/>
      <c r="I61" s="3"/>
      <c r="J61" s="3"/>
      <c r="K61" s="3"/>
      <c r="L61" s="3"/>
      <c r="M61" s="3"/>
      <c r="N61" s="3"/>
      <c r="O61" s="3"/>
      <c r="P61" s="3"/>
      <c r="Q61" s="3"/>
    </row>
    <row r="62" customFormat="false" ht="18" hidden="false" customHeight="true" outlineLevel="0" collapsed="false">
      <c r="A62" s="14" t="s">
        <v>315</v>
      </c>
      <c r="B62" s="14"/>
      <c r="C62" s="14"/>
      <c r="D62" s="14"/>
      <c r="E62" s="14"/>
      <c r="F62" s="14"/>
      <c r="G62" s="14"/>
      <c r="H62" s="14"/>
      <c r="I62" s="14"/>
      <c r="J62" s="14"/>
      <c r="K62" s="14"/>
      <c r="L62" s="14"/>
      <c r="M62" s="14"/>
      <c r="N62" s="14"/>
      <c r="O62" s="14"/>
      <c r="P62" s="14"/>
      <c r="Q62" s="14"/>
    </row>
    <row r="63" customFormat="false" ht="15.75" hidden="false" customHeight="true" outlineLevel="0" collapsed="false">
      <c r="A63" s="77" t="s">
        <v>316</v>
      </c>
      <c r="B63" s="77"/>
      <c r="C63" s="77"/>
      <c r="D63" s="77"/>
      <c r="E63" s="77"/>
      <c r="F63" s="77"/>
      <c r="G63" s="77"/>
      <c r="H63" s="77"/>
      <c r="I63" s="77"/>
      <c r="J63" s="77"/>
      <c r="K63" s="77"/>
      <c r="L63" s="77"/>
      <c r="M63" s="77"/>
      <c r="N63" s="77"/>
      <c r="O63" s="77"/>
      <c r="P63" s="77"/>
      <c r="Q63" s="77"/>
    </row>
    <row r="64" customFormat="false" ht="13.5" hidden="false" customHeight="true" outlineLevel="0" collapsed="false">
      <c r="A64" s="78" t="s">
        <v>317</v>
      </c>
      <c r="B64" s="62" t="s">
        <v>318</v>
      </c>
      <c r="C64" s="79" t="n">
        <f aca="false">IF(AND(DATE(YEAR(C$7),MONTH(C$7),Assumptions!$B$78)&gt;=C$6,DATE(YEAR(C$7),MONTH(C$7),Assumptions!$B$78)&lt;=C$7),1,0)</f>
        <v>0</v>
      </c>
      <c r="D64" s="79" t="n">
        <f aca="false">IF(AND(DATE(YEAR(D$7),MONTH(D$7),Assumptions!$B$78)&gt;=D$6,DATE(YEAR(D$7),MONTH(D$7),Assumptions!$B$78)&lt;=D$7),1,0)</f>
        <v>0</v>
      </c>
      <c r="E64" s="79" t="n">
        <f aca="false">IF(AND(DATE(YEAR(E$7),MONTH(E$7),Assumptions!$B$78)&gt;=E$6,DATE(YEAR(E$7),MONTH(E$7),Assumptions!$B$78)&lt;=E$7),1,0)</f>
        <v>0</v>
      </c>
      <c r="F64" s="79" t="n">
        <f aca="false">IF(AND(DATE(YEAR(F$7),MONTH(F$7),Assumptions!$B$78)&gt;=F$6,DATE(YEAR(F$7),MONTH(F$7),Assumptions!$B$78)&lt;=F$7),1,0)</f>
        <v>0</v>
      </c>
      <c r="G64" s="79" t="n">
        <f aca="false">IF(AND(DATE(YEAR(G$7),MONTH(G$7),Assumptions!$B$78)&gt;=G$6,DATE(YEAR(G$7),MONTH(G$7),Assumptions!$B$78)&lt;=G$7),1,0)</f>
        <v>1</v>
      </c>
      <c r="H64" s="79" t="n">
        <f aca="false">IF(AND(DATE(YEAR(H$7),MONTH(H$7),Assumptions!$B$78)&gt;=H$6,DATE(YEAR(H$7),MONTH(H$7),Assumptions!$B$78)&lt;=H$7),1,0)</f>
        <v>0</v>
      </c>
      <c r="I64" s="79" t="n">
        <f aca="false">IF(AND(DATE(YEAR(I$7),MONTH(I$7),Assumptions!$B$78)&gt;=I$6,DATE(YEAR(I$7),MONTH(I$7),Assumptions!$B$78)&lt;=I$7),1,0)</f>
        <v>0</v>
      </c>
      <c r="J64" s="79" t="n">
        <f aca="false">IF(AND(DATE(YEAR(J$7),MONTH(J$7),Assumptions!$B$78)&gt;=J$6,DATE(YEAR(J$7),MONTH(J$7),Assumptions!$B$78)&lt;=J$7),1,0)</f>
        <v>0</v>
      </c>
      <c r="K64" s="79" t="n">
        <f aca="false">IF(AND(DATE(YEAR(K$7),MONTH(K$7),Assumptions!$B$78)&gt;=K$6,DATE(YEAR(K$7),MONTH(K$7),Assumptions!$B$78)&lt;=K$7),1,0)</f>
        <v>1</v>
      </c>
      <c r="L64" s="79" t="n">
        <f aca="false">IF(AND(DATE(YEAR(L$7),MONTH(L$7),Assumptions!$B$78)&gt;=L$6,DATE(YEAR(L$7),MONTH(L$7),Assumptions!$B$78)&lt;=L$7),1,0)</f>
        <v>0</v>
      </c>
      <c r="M64" s="79" t="n">
        <f aca="false">IF(AND(DATE(YEAR(M$7),MONTH(M$7),Assumptions!$B$78)&gt;=M$6,DATE(YEAR(M$7),MONTH(M$7),Assumptions!$B$78)&lt;=M$7),1,0)</f>
        <v>0</v>
      </c>
      <c r="N64" s="79" t="n">
        <f aca="false">IF(AND(DATE(YEAR(N$7),MONTH(N$7),Assumptions!$B$78)&gt;=N$6,DATE(YEAR(N$7),MONTH(N$7),Assumptions!$B$78)&lt;=N$7),1,0)</f>
        <v>0</v>
      </c>
      <c r="O64" s="79" t="n">
        <f aca="false">IF(AND(DATE(YEAR(O$7),MONTH(O$7),Assumptions!$B$78)&gt;=O$6,DATE(YEAR(O$7),MONTH(O$7),Assumptions!$B$78)&lt;=O$7),1,0)</f>
        <v>1</v>
      </c>
      <c r="P64" s="3"/>
      <c r="Q64" s="3"/>
    </row>
    <row r="65" customFormat="false" ht="13.5" hidden="false" customHeight="true" outlineLevel="0" collapsed="false">
      <c r="A65" s="78" t="s">
        <v>319</v>
      </c>
      <c r="B65" s="23"/>
      <c r="C65" s="79" t="n">
        <f aca="false">IF(AND(DATE(YEAR(C$7),MONTH(C$7),Assumptions!$B$79)&gt;=C$6,DATE(YEAR(C$7),MONTH(C$7),Assumptions!$B$79)&lt;=C$7),1,0)</f>
        <v>1</v>
      </c>
      <c r="D65" s="79" t="n">
        <f aca="false">IF(AND(DATE(YEAR(D$7),MONTH(D$7),Assumptions!$B$79)&gt;=D$6,DATE(YEAR(D$7),MONTH(D$7),Assumptions!$B$79)&lt;=D$7),1,0)</f>
        <v>0</v>
      </c>
      <c r="E65" s="79" t="n">
        <f aca="false">IF(AND(DATE(YEAR(E$7),MONTH(E$7),Assumptions!$B$79)&gt;=E$6,DATE(YEAR(E$7),MONTH(E$7),Assumptions!$B$79)&lt;=E$7),1,0)</f>
        <v>0</v>
      </c>
      <c r="F65" s="79" t="n">
        <f aca="false">IF(AND(DATE(YEAR(F$7),MONTH(F$7),Assumptions!$B$79)&gt;=F$6,DATE(YEAR(F$7),MONTH(F$7),Assumptions!$B$79)&lt;=F$7),1,0)</f>
        <v>0</v>
      </c>
      <c r="G65" s="79" t="n">
        <f aca="false">IF(AND(DATE(YEAR(G$7),MONTH(G$7),Assumptions!$B$79)&gt;=G$6,DATE(YEAR(G$7),MONTH(G$7),Assumptions!$B$79)&lt;=G$7),1,0)</f>
        <v>1</v>
      </c>
      <c r="H65" s="79" t="n">
        <f aca="false">IF(AND(DATE(YEAR(H$7),MONTH(H$7),Assumptions!$B$79)&gt;=H$6,DATE(YEAR(H$7),MONTH(H$7),Assumptions!$B$79)&lt;=H$7),1,0)</f>
        <v>0</v>
      </c>
      <c r="I65" s="79" t="n">
        <f aca="false">IF(AND(DATE(YEAR(I$7),MONTH(I$7),Assumptions!$B$79)&gt;=I$6,DATE(YEAR(I$7),MONTH(I$7),Assumptions!$B$79)&lt;=I$7),1,0)</f>
        <v>0</v>
      </c>
      <c r="J65" s="79" t="n">
        <f aca="false">IF(AND(DATE(YEAR(J$7),MONTH(J$7),Assumptions!$B$79)&gt;=J$6,DATE(YEAR(J$7),MONTH(J$7),Assumptions!$B$79)&lt;=J$7),1,0)</f>
        <v>0</v>
      </c>
      <c r="K65" s="79" t="n">
        <f aca="false">IF(AND(DATE(YEAR(K$7),MONTH(K$7),Assumptions!$B$79)&gt;=K$6,DATE(YEAR(K$7),MONTH(K$7),Assumptions!$B$79)&lt;=K$7),1,0)</f>
        <v>0</v>
      </c>
      <c r="L65" s="79" t="n">
        <f aca="false">IF(AND(DATE(YEAR(L$7),MONTH(L$7),Assumptions!$B$79)&gt;=L$6,DATE(YEAR(L$7),MONTH(L$7),Assumptions!$B$79)&lt;=L$7),1,0)</f>
        <v>1</v>
      </c>
      <c r="M65" s="79" t="n">
        <f aca="false">IF(AND(DATE(YEAR(M$7),MONTH(M$7),Assumptions!$B$79)&gt;=M$6,DATE(YEAR(M$7),MONTH(M$7),Assumptions!$B$79)&lt;=M$7),1,0)</f>
        <v>0</v>
      </c>
      <c r="N65" s="79" t="n">
        <f aca="false">IF(AND(DATE(YEAR(N$7),MONTH(N$7),Assumptions!$B$79)&gt;=N$6,DATE(YEAR(N$7),MONTH(N$7),Assumptions!$B$79)&lt;=N$7),1,0)</f>
        <v>0</v>
      </c>
      <c r="O65" s="79" t="n">
        <f aca="false">IF(AND(DATE(YEAR(O$7),MONTH(O$7),Assumptions!$B$79)&gt;=O$6,DATE(YEAR(O$7),MONTH(O$7),Assumptions!$B$79)&lt;=O$7),1,0)</f>
        <v>0</v>
      </c>
      <c r="P65" s="3"/>
      <c r="Q65" s="3"/>
    </row>
    <row r="66" customFormat="false" ht="13.5" hidden="false" customHeight="true" outlineLevel="0" collapsed="false">
      <c r="A66" s="78" t="s">
        <v>320</v>
      </c>
      <c r="B66" s="23"/>
      <c r="C66" s="79" t="n">
        <f aca="false">IF(AND(DATE(YEAR(C$7),MONTH(C$7),Assumptions!$B$80)&gt;=C$6,DATE(YEAR(C$7),MONTH(C$7),Assumptions!$B$80)&lt;=C$7),1,0)</f>
        <v>0</v>
      </c>
      <c r="D66" s="79" t="n">
        <f aca="false">IF(AND(DATE(YEAR(D$7),MONTH(D$7),Assumptions!$B$80)&gt;=D$6,DATE(YEAR(D$7),MONTH(D$7),Assumptions!$B$80)&lt;=D$7),1,0)</f>
        <v>1</v>
      </c>
      <c r="E66" s="79" t="n">
        <f aca="false">IF(AND(DATE(YEAR(E$7),MONTH(E$7),Assumptions!$B$80)&gt;=E$6,DATE(YEAR(E$7),MONTH(E$7),Assumptions!$B$80)&lt;=E$7),1,0)</f>
        <v>0</v>
      </c>
      <c r="F66" s="79" t="n">
        <f aca="false">IF(AND(DATE(YEAR(F$7),MONTH(F$7),Assumptions!$B$80)&gt;=F$6,DATE(YEAR(F$7),MONTH(F$7),Assumptions!$B$80)&lt;=F$7),1,0)</f>
        <v>0</v>
      </c>
      <c r="G66" s="79" t="n">
        <f aca="false">IF(AND(DATE(YEAR(G$7),MONTH(G$7),Assumptions!$B$80)&gt;=G$6,DATE(YEAR(G$7),MONTH(G$7),Assumptions!$B$80)&lt;=G$7),1,0)</f>
        <v>0</v>
      </c>
      <c r="H66" s="79" t="n">
        <f aca="false">IF(AND(DATE(YEAR(H$7),MONTH(H$7),Assumptions!$B$80)&gt;=H$6,DATE(YEAR(H$7),MONTH(H$7),Assumptions!$B$80)&lt;=H$7),1,0)</f>
        <v>1</v>
      </c>
      <c r="I66" s="79" t="n">
        <f aca="false">IF(AND(DATE(YEAR(I$7),MONTH(I$7),Assumptions!$B$80)&gt;=I$6,DATE(YEAR(I$7),MONTH(I$7),Assumptions!$B$80)&lt;=I$7),1,0)</f>
        <v>0</v>
      </c>
      <c r="J66" s="79" t="n">
        <f aca="false">IF(AND(DATE(YEAR(J$7),MONTH(J$7),Assumptions!$B$80)&gt;=J$6,DATE(YEAR(J$7),MONTH(J$7),Assumptions!$B$80)&lt;=J$7),1,0)</f>
        <v>0</v>
      </c>
      <c r="K66" s="79" t="n">
        <f aca="false">IF(AND(DATE(YEAR(K$7),MONTH(K$7),Assumptions!$B$80)&gt;=K$6,DATE(YEAR(K$7),MONTH(K$7),Assumptions!$B$80)&lt;=K$7),1,0)</f>
        <v>0</v>
      </c>
      <c r="L66" s="79" t="n">
        <f aca="false">IF(AND(DATE(YEAR(L$7),MONTH(L$7),Assumptions!$B$80)&gt;=L$6,DATE(YEAR(L$7),MONTH(L$7),Assumptions!$B$80)&lt;=L$7),1,0)</f>
        <v>1</v>
      </c>
      <c r="M66" s="79" t="n">
        <f aca="false">IF(AND(DATE(YEAR(M$7),MONTH(M$7),Assumptions!$B$80)&gt;=M$6,DATE(YEAR(M$7),MONTH(M$7),Assumptions!$B$80)&lt;=M$7),1,0)</f>
        <v>0</v>
      </c>
      <c r="N66" s="79" t="n">
        <f aca="false">IF(AND(DATE(YEAR(N$7),MONTH(N$7),Assumptions!$B$80)&gt;=N$6,DATE(YEAR(N$7),MONTH(N$7),Assumptions!$B$80)&lt;=N$7),1,0)</f>
        <v>0</v>
      </c>
      <c r="O66" s="79" t="n">
        <f aca="false">IF(AND(DATE(YEAR(O$7),MONTH(O$7),Assumptions!$B$80)&gt;=O$6,DATE(YEAR(O$7),MONTH(O$7),Assumptions!$B$80)&lt;=O$7),1,0)</f>
        <v>0</v>
      </c>
      <c r="P66" s="3"/>
      <c r="Q66" s="3"/>
    </row>
    <row r="67" customFormat="false" ht="13.5" hidden="false" customHeight="true" outlineLevel="0" collapsed="false">
      <c r="A67" s="78" t="s">
        <v>321</v>
      </c>
      <c r="B67" s="23"/>
      <c r="C67" s="79" t="n">
        <f aca="false">IF(AND(DATE(YEAR(C$7),MONTH(C$7),Assumptions!$B$81)&gt;=C$6,DATE(YEAR(C$7),MONTH(C$7),Assumptions!$B$81)&lt;=C$7),1,0)</f>
        <v>0</v>
      </c>
      <c r="D67" s="79" t="n">
        <f aca="false">IF(AND(DATE(YEAR(D$7),MONTH(D$7),Assumptions!$B$81)&gt;=D$6,DATE(YEAR(D$7),MONTH(D$7),Assumptions!$B$81)&lt;=D$7),1,0)</f>
        <v>1</v>
      </c>
      <c r="E67" s="79" t="n">
        <f aca="false">IF(AND(DATE(YEAR(E$7),MONTH(E$7),Assumptions!$B$81)&gt;=E$6,DATE(YEAR(E$7),MONTH(E$7),Assumptions!$B$81)&lt;=E$7),1,0)</f>
        <v>0</v>
      </c>
      <c r="F67" s="79" t="n">
        <f aca="false">IF(AND(DATE(YEAR(F$7),MONTH(F$7),Assumptions!$B$81)&gt;=F$6,DATE(YEAR(F$7),MONTH(F$7),Assumptions!$B$81)&lt;=F$7),1,0)</f>
        <v>0</v>
      </c>
      <c r="G67" s="79" t="n">
        <f aca="false">IF(AND(DATE(YEAR(G$7),MONTH(G$7),Assumptions!$B$81)&gt;=G$6,DATE(YEAR(G$7),MONTH(G$7),Assumptions!$B$81)&lt;=G$7),1,0)</f>
        <v>0</v>
      </c>
      <c r="H67" s="79" t="n">
        <f aca="false">IF(AND(DATE(YEAR(H$7),MONTH(H$7),Assumptions!$B$81)&gt;=H$6,DATE(YEAR(H$7),MONTH(H$7),Assumptions!$B$81)&lt;=H$7),1,0)</f>
        <v>0</v>
      </c>
      <c r="I67" s="79" t="n">
        <f aca="false">IF(AND(DATE(YEAR(I$7),MONTH(I$7),Assumptions!$B$81)&gt;=I$6,DATE(YEAR(I$7),MONTH(I$7),Assumptions!$B$81)&lt;=I$7),1,0)</f>
        <v>1</v>
      </c>
      <c r="J67" s="79" t="n">
        <f aca="false">IF(AND(DATE(YEAR(J$7),MONTH(J$7),Assumptions!$B$81)&gt;=J$6,DATE(YEAR(J$7),MONTH(J$7),Assumptions!$B$81)&lt;=J$7),1,0)</f>
        <v>0</v>
      </c>
      <c r="K67" s="79" t="n">
        <f aca="false">IF(AND(DATE(YEAR(K$7),MONTH(K$7),Assumptions!$B$81)&gt;=K$6,DATE(YEAR(K$7),MONTH(K$7),Assumptions!$B$81)&lt;=K$7),1,0)</f>
        <v>0</v>
      </c>
      <c r="L67" s="79" t="n">
        <f aca="false">IF(AND(DATE(YEAR(L$7),MONTH(L$7),Assumptions!$B$81)&gt;=L$6,DATE(YEAR(L$7),MONTH(L$7),Assumptions!$B$81)&lt;=L$7),1,0)</f>
        <v>0</v>
      </c>
      <c r="M67" s="79" t="n">
        <f aca="false">IF(AND(DATE(YEAR(M$7),MONTH(M$7),Assumptions!$B$81)&gt;=M$6,DATE(YEAR(M$7),MONTH(M$7),Assumptions!$B$81)&lt;=M$7),1,0)</f>
        <v>1</v>
      </c>
      <c r="N67" s="79" t="n">
        <f aca="false">IF(AND(DATE(YEAR(N$7),MONTH(N$7),Assumptions!$B$81)&gt;=N$6,DATE(YEAR(N$7),MONTH(N$7),Assumptions!$B$81)&lt;=N$7),1,0)</f>
        <v>0</v>
      </c>
      <c r="O67" s="79" t="n">
        <f aca="false">IF(AND(DATE(YEAR(O$7),MONTH(O$7),Assumptions!$B$81)&gt;=O$6,DATE(YEAR(O$7),MONTH(O$7),Assumptions!$B$81)&lt;=O$7),1,0)</f>
        <v>0</v>
      </c>
      <c r="P67" s="3"/>
      <c r="Q67" s="3"/>
    </row>
    <row r="68" customFormat="false" ht="13.5" hidden="false" customHeight="true" outlineLevel="0" collapsed="false">
      <c r="A68" s="78" t="s">
        <v>322</v>
      </c>
      <c r="B68" s="23"/>
      <c r="C68" s="79" t="n">
        <f aca="false">IF(AND(DATE(YEAR(C$7),MONTH(C$7),Assumptions!$B$82)&gt;=C$6,DATE(YEAR(C$7),MONTH(C$7),Assumptions!$B$82)&lt;=C$7),1,0)</f>
        <v>0</v>
      </c>
      <c r="D68" s="79" t="n">
        <f aca="false">IF(AND(DATE(YEAR(D$7),MONTH(D$7),Assumptions!$B$82)&gt;=D$6,DATE(YEAR(D$7),MONTH(D$7),Assumptions!$B$82)&lt;=D$7),1,0)</f>
        <v>0</v>
      </c>
      <c r="E68" s="79" t="n">
        <f aca="false">IF(AND(DATE(YEAR(E$7),MONTH(E$7),Assumptions!$B$82)&gt;=E$6,DATE(YEAR(E$7),MONTH(E$7),Assumptions!$B$82)&lt;=E$7),1,0)</f>
        <v>1</v>
      </c>
      <c r="F68" s="79" t="n">
        <f aca="false">IF(AND(DATE(YEAR(F$7),MONTH(F$7),Assumptions!$B$82)&gt;=F$6,DATE(YEAR(F$7),MONTH(F$7),Assumptions!$B$82)&lt;=F$7),1,0)</f>
        <v>0</v>
      </c>
      <c r="G68" s="79" t="n">
        <f aca="false">IF(AND(DATE(YEAR(G$7),MONTH(G$7),Assumptions!$B$82)&gt;=G$6,DATE(YEAR(G$7),MONTH(G$7),Assumptions!$B$82)&lt;=G$7),1,0)</f>
        <v>0</v>
      </c>
      <c r="H68" s="79" t="n">
        <f aca="false">IF(AND(DATE(YEAR(H$7),MONTH(H$7),Assumptions!$B$82)&gt;=H$6,DATE(YEAR(H$7),MONTH(H$7),Assumptions!$B$82)&lt;=H$7),1,0)</f>
        <v>0</v>
      </c>
      <c r="I68" s="79" t="n">
        <f aca="false">IF(AND(DATE(YEAR(I$7),MONTH(I$7),Assumptions!$B$82)&gt;=I$6,DATE(YEAR(I$7),MONTH(I$7),Assumptions!$B$82)&lt;=I$7),1,0)</f>
        <v>1</v>
      </c>
      <c r="J68" s="79" t="n">
        <f aca="false">IF(AND(DATE(YEAR(J$7),MONTH(J$7),Assumptions!$B$82)&gt;=J$6,DATE(YEAR(J$7),MONTH(J$7),Assumptions!$B$82)&lt;=J$7),1,0)</f>
        <v>0</v>
      </c>
      <c r="K68" s="79" t="n">
        <f aca="false">IF(AND(DATE(YEAR(K$7),MONTH(K$7),Assumptions!$B$82)&gt;=K$6,DATE(YEAR(K$7),MONTH(K$7),Assumptions!$B$82)&lt;=K$7),1,0)</f>
        <v>0</v>
      </c>
      <c r="L68" s="79" t="n">
        <f aca="false">IF(AND(DATE(YEAR(L$7),MONTH(L$7),Assumptions!$B$82)&gt;=L$6,DATE(YEAR(L$7),MONTH(L$7),Assumptions!$B$82)&lt;=L$7),1,0)</f>
        <v>0</v>
      </c>
      <c r="M68" s="79" t="n">
        <f aca="false">IF(AND(DATE(YEAR(M$7),MONTH(M$7),Assumptions!$B$82)&gt;=M$6,DATE(YEAR(M$7),MONTH(M$7),Assumptions!$B$82)&lt;=M$7),1,0)</f>
        <v>0</v>
      </c>
      <c r="N68" s="79" t="n">
        <f aca="false">IF(AND(DATE(YEAR(N$7),MONTH(N$7),Assumptions!$B$82)&gt;=N$6,DATE(YEAR(N$7),MONTH(N$7),Assumptions!$B$82)&lt;=N$7),1,0)</f>
        <v>1</v>
      </c>
      <c r="O68" s="79" t="n">
        <f aca="false">IF(AND(DATE(YEAR(O$7),MONTH(O$7),Assumptions!$B$82)&gt;=O$6,DATE(YEAR(O$7),MONTH(O$7),Assumptions!$B$82)&lt;=O$7),1,0)</f>
        <v>0</v>
      </c>
      <c r="P68" s="3"/>
      <c r="Q68" s="3"/>
    </row>
    <row r="69" customFormat="false" ht="13.5" hidden="false" customHeight="true" outlineLevel="0" collapsed="false">
      <c r="A69" s="78" t="s">
        <v>323</v>
      </c>
      <c r="B69" s="62" t="s">
        <v>324</v>
      </c>
      <c r="C69" s="79" t="n">
        <f aca="false">IF(EOMONTH(C$6,0)&lt;=C$7,1,0)</f>
        <v>0</v>
      </c>
      <c r="D69" s="79" t="n">
        <f aca="false">IF(EOMONTH(D$6,0)&lt;=D$7,1,0)</f>
        <v>0</v>
      </c>
      <c r="E69" s="79" t="n">
        <f aca="false">IF(EOMONTH(E$6,0)&lt;=E$7,1,0)</f>
        <v>0</v>
      </c>
      <c r="F69" s="79" t="n">
        <f aca="false">IF(EOMONTH(F$6,0)&lt;=F$7,1,0)</f>
        <v>0</v>
      </c>
      <c r="G69" s="79" t="n">
        <f aca="false">IF(EOMONTH(G$6,0)&lt;=G$7,1,0)</f>
        <v>1</v>
      </c>
      <c r="H69" s="79" t="n">
        <f aca="false">IF(EOMONTH(H$6,0)&lt;=H$7,1,0)</f>
        <v>0</v>
      </c>
      <c r="I69" s="79" t="n">
        <f aca="false">IF(EOMONTH(I$6,0)&lt;=I$7,1,0)</f>
        <v>0</v>
      </c>
      <c r="J69" s="79" t="n">
        <f aca="false">IF(EOMONTH(J$6,0)&lt;=J$7,1,0)</f>
        <v>0</v>
      </c>
      <c r="K69" s="79" t="n">
        <f aca="false">IF(EOMONTH(K$6,0)&lt;=K$7,1,0)</f>
        <v>1</v>
      </c>
      <c r="L69" s="79" t="n">
        <f aca="false">IF(EOMONTH(L$6,0)&lt;=L$7,1,0)</f>
        <v>0</v>
      </c>
      <c r="M69" s="79" t="n">
        <f aca="false">IF(EOMONTH(M$6,0)&lt;=M$7,1,0)</f>
        <v>0</v>
      </c>
      <c r="N69" s="79" t="n">
        <f aca="false">IF(EOMONTH(N$6,0)&lt;=N$7,1,0)</f>
        <v>0</v>
      </c>
      <c r="O69" s="79" t="n">
        <f aca="false">IF(EOMONTH(O$6,0)&lt;=O$7,1,0)</f>
        <v>1</v>
      </c>
      <c r="P69" s="3"/>
      <c r="Q69" s="3"/>
    </row>
    <row r="70" customFormat="false" ht="6" hidden="false" customHeight="true" outlineLevel="0" collapsed="false">
      <c r="A70" s="3"/>
      <c r="B70" s="3"/>
      <c r="C70" s="3"/>
      <c r="D70" s="3"/>
      <c r="E70" s="3"/>
      <c r="F70" s="3"/>
      <c r="G70" s="3"/>
      <c r="H70" s="3"/>
      <c r="I70" s="3"/>
      <c r="J70" s="3"/>
      <c r="K70" s="3"/>
      <c r="L70" s="3"/>
      <c r="M70" s="3"/>
      <c r="N70" s="3"/>
      <c r="O70" s="3"/>
      <c r="P70" s="3"/>
      <c r="Q70" s="3"/>
    </row>
    <row r="71" customFormat="false" ht="15.75" hidden="false" customHeight="true" outlineLevel="0" collapsed="false">
      <c r="A71" s="77" t="s">
        <v>325</v>
      </c>
      <c r="B71" s="77"/>
      <c r="C71" s="77"/>
      <c r="D71" s="77"/>
      <c r="E71" s="77"/>
      <c r="F71" s="77"/>
      <c r="G71" s="77"/>
      <c r="H71" s="77"/>
      <c r="I71" s="77"/>
      <c r="J71" s="77"/>
      <c r="K71" s="77"/>
      <c r="L71" s="77"/>
      <c r="M71" s="77"/>
      <c r="N71" s="77"/>
      <c r="O71" s="77"/>
      <c r="P71" s="77"/>
      <c r="Q71" s="77"/>
    </row>
    <row r="72" customFormat="false" ht="13.5" hidden="false" customHeight="true" outlineLevel="0" collapsed="false">
      <c r="A72" s="78" t="s">
        <v>189</v>
      </c>
      <c r="B72" s="62" t="s">
        <v>326</v>
      </c>
      <c r="C72" s="80" t="n">
        <f aca="false">Assumptions!$B$16*Assumptions!C$107*(1-Assumptions!$B$22)</f>
        <v>18127.9</v>
      </c>
      <c r="D72" s="80" t="n">
        <f aca="false">Assumptions!$B$16*Assumptions!D$107*(1-Assumptions!$B$22)</f>
        <v>20608.56</v>
      </c>
      <c r="E72" s="80" t="n">
        <f aca="false">Assumptions!$B$16*Assumptions!E$107*(1-Assumptions!$B$22)</f>
        <v>17555.44</v>
      </c>
      <c r="F72" s="80" t="n">
        <f aca="false">Assumptions!$B$16*Assumptions!F$107*(1-Assumptions!$B$22)</f>
        <v>17173.8</v>
      </c>
      <c r="G72" s="80" t="n">
        <f aca="false">Assumptions!$B$16*Assumptions!G$107*(1-Assumptions!$B$22)</f>
        <v>17746.26</v>
      </c>
      <c r="H72" s="80" t="n">
        <f aca="false">Assumptions!$B$16*Assumptions!H$107*(1-Assumptions!$B$22)</f>
        <v>18509.54</v>
      </c>
      <c r="I72" s="80" t="n">
        <f aca="false">Assumptions!$B$16*Assumptions!I$107*(1-Assumptions!$B$22)</f>
        <v>19082</v>
      </c>
      <c r="J72" s="80" t="n">
        <f aca="false">Assumptions!$B$16*Assumptions!J$107*(1-Assumptions!$B$22)</f>
        <v>19463.64</v>
      </c>
      <c r="K72" s="80" t="n">
        <f aca="false">Assumptions!$B$16*Assumptions!K$107*(1-Assumptions!$B$22)</f>
        <v>18700.36</v>
      </c>
      <c r="L72" s="80" t="n">
        <f aca="false">Assumptions!$B$16*Assumptions!L$107*(1-Assumptions!$B$22)</f>
        <v>19654.46</v>
      </c>
      <c r="M72" s="80" t="n">
        <f aca="false">Assumptions!$B$16*Assumptions!M$107*(1-Assumptions!$B$22)</f>
        <v>20226.92</v>
      </c>
      <c r="N72" s="80" t="n">
        <f aca="false">Assumptions!$B$16*Assumptions!N$107*(1-Assumptions!$B$22)</f>
        <v>20990.2</v>
      </c>
      <c r="O72" s="80" t="n">
        <f aca="false">Assumptions!$B$16*Assumptions!O$107*(1-Assumptions!$B$22)</f>
        <v>21753.48</v>
      </c>
      <c r="P72" s="80" t="n">
        <f aca="false">SUM(C72:O72)</f>
        <v>249592.56</v>
      </c>
      <c r="Q72" s="71" t="n">
        <f aca="false">AVERAGE(C72:O72)</f>
        <v>19199.4276923077</v>
      </c>
    </row>
    <row r="73" customFormat="false" ht="13.5" hidden="false" customHeight="true" outlineLevel="0" collapsed="false">
      <c r="A73" s="78" t="s">
        <v>190</v>
      </c>
      <c r="B73" s="62" t="s">
        <v>326</v>
      </c>
      <c r="C73" s="80" t="n">
        <f aca="false">Assumptions!$B$17*Assumptions!C$108*(1-Assumptions!$B$23)</f>
        <v>20913.2</v>
      </c>
      <c r="D73" s="80" t="n">
        <f aca="false">Assumptions!$B$17*Assumptions!D$108*(1-Assumptions!$B$23)</f>
        <v>22638</v>
      </c>
      <c r="E73" s="80" t="n">
        <f aca="false">Assumptions!$B$17*Assumptions!E$108*(1-Assumptions!$B$23)</f>
        <v>20697.6</v>
      </c>
      <c r="F73" s="80" t="n">
        <f aca="false">Assumptions!$B$17*Assumptions!F$108*(1-Assumptions!$B$23)</f>
        <v>20482</v>
      </c>
      <c r="G73" s="80" t="n">
        <f aca="false">Assumptions!$B$17*Assumptions!G$108*(1-Assumptions!$B$23)</f>
        <v>21344.4</v>
      </c>
      <c r="H73" s="80" t="n">
        <f aca="false">Assumptions!$B$17*Assumptions!H$108*(1-Assumptions!$B$23)</f>
        <v>21991.2</v>
      </c>
      <c r="I73" s="80" t="n">
        <f aca="false">Assumptions!$B$17*Assumptions!I$108*(1-Assumptions!$B$23)</f>
        <v>22422.4</v>
      </c>
      <c r="J73" s="80" t="n">
        <f aca="false">Assumptions!$B$17*Assumptions!J$108*(1-Assumptions!$B$23)</f>
        <v>22853.6</v>
      </c>
      <c r="K73" s="80" t="n">
        <f aca="false">Assumptions!$B$17*Assumptions!K$108*(1-Assumptions!$B$23)</f>
        <v>22638</v>
      </c>
      <c r="L73" s="80" t="n">
        <f aca="false">Assumptions!$B$17*Assumptions!L$108*(1-Assumptions!$B$23)</f>
        <v>23284.8</v>
      </c>
      <c r="M73" s="80" t="n">
        <f aca="false">Assumptions!$B$17*Assumptions!M$108*(1-Assumptions!$B$23)</f>
        <v>24147.2</v>
      </c>
      <c r="N73" s="80" t="n">
        <f aca="false">Assumptions!$B$17*Assumptions!N$108*(1-Assumptions!$B$23)</f>
        <v>24794</v>
      </c>
      <c r="O73" s="80" t="n">
        <f aca="false">Assumptions!$B$17*Assumptions!O$108*(1-Assumptions!$B$23)</f>
        <v>25872</v>
      </c>
      <c r="P73" s="80" t="n">
        <f aca="false">SUM(C73:O73)</f>
        <v>294078.4</v>
      </c>
      <c r="Q73" s="71" t="n">
        <f aca="false">AVERAGE(C73:O73)</f>
        <v>22621.4153846154</v>
      </c>
    </row>
    <row r="74" customFormat="false" ht="13.5" hidden="false" customHeight="true" outlineLevel="0" collapsed="false">
      <c r="A74" s="78" t="s">
        <v>191</v>
      </c>
      <c r="B74" s="62" t="s">
        <v>327</v>
      </c>
      <c r="C74" s="80" t="n">
        <f aca="false">Assumptions!$B$18*Assumptions!C$109*(1-Assumptions!$B$24)</f>
        <v>0</v>
      </c>
      <c r="D74" s="80" t="n">
        <f aca="false">Assumptions!$B$18*Assumptions!D$109*(1-Assumptions!$B$24)</f>
        <v>23280</v>
      </c>
      <c r="E74" s="80" t="n">
        <f aca="false">Assumptions!$B$18*Assumptions!E$109*(1-Assumptions!$B$24)</f>
        <v>0</v>
      </c>
      <c r="F74" s="80" t="n">
        <f aca="false">Assumptions!$B$18*Assumptions!F$109*(1-Assumptions!$B$24)</f>
        <v>0</v>
      </c>
      <c r="G74" s="80" t="n">
        <f aca="false">Assumptions!$B$18*Assumptions!G$109*(1-Assumptions!$B$24)</f>
        <v>0</v>
      </c>
      <c r="H74" s="80" t="n">
        <f aca="false">Assumptions!$B$18*Assumptions!H$109*(1-Assumptions!$B$24)</f>
        <v>0</v>
      </c>
      <c r="I74" s="80" t="n">
        <f aca="false">Assumptions!$B$18*Assumptions!I$109*(1-Assumptions!$B$24)</f>
        <v>18624</v>
      </c>
      <c r="J74" s="80" t="n">
        <f aca="false">Assumptions!$B$18*Assumptions!J$109*(1-Assumptions!$B$24)</f>
        <v>0</v>
      </c>
      <c r="K74" s="80" t="n">
        <f aca="false">Assumptions!$B$18*Assumptions!K$109*(1-Assumptions!$B$24)</f>
        <v>0</v>
      </c>
      <c r="L74" s="80" t="n">
        <f aca="false">Assumptions!$B$18*Assumptions!L$109*(1-Assumptions!$B$24)</f>
        <v>0</v>
      </c>
      <c r="M74" s="80" t="n">
        <f aca="false">Assumptions!$B$18*Assumptions!M$109*(1-Assumptions!$B$24)</f>
        <v>32592</v>
      </c>
      <c r="N74" s="80" t="n">
        <f aca="false">Assumptions!$B$18*Assumptions!N$109*(1-Assumptions!$B$24)</f>
        <v>0</v>
      </c>
      <c r="O74" s="80" t="n">
        <f aca="false">Assumptions!$B$18*Assumptions!O$109*(1-Assumptions!$B$24)</f>
        <v>25608</v>
      </c>
      <c r="P74" s="80" t="n">
        <f aca="false">SUM(C74:O74)</f>
        <v>100104</v>
      </c>
      <c r="Q74" s="71" t="n">
        <f aca="false">AVERAGE(C74:O74)</f>
        <v>7700.30769230769</v>
      </c>
    </row>
    <row r="75" customFormat="false" ht="13.5" hidden="false" customHeight="true" outlineLevel="0" collapsed="false">
      <c r="A75" s="78" t="s">
        <v>192</v>
      </c>
      <c r="B75" s="62" t="s">
        <v>326</v>
      </c>
      <c r="C75" s="80" t="n">
        <f aca="false">Assumptions!$B$19*Assumptions!C$110*(1-Assumptions!$B$25)</f>
        <v>7536</v>
      </c>
      <c r="D75" s="80" t="n">
        <f aca="false">Assumptions!$B$19*Assumptions!D$110*(1-Assumptions!$B$25)</f>
        <v>7850</v>
      </c>
      <c r="E75" s="80" t="n">
        <f aca="false">Assumptions!$B$19*Assumptions!E$110*(1-Assumptions!$B$25)</f>
        <v>7457.5</v>
      </c>
      <c r="F75" s="80" t="n">
        <f aca="false">Assumptions!$B$19*Assumptions!F$110*(1-Assumptions!$B$25)</f>
        <v>7379</v>
      </c>
      <c r="G75" s="80" t="n">
        <f aca="false">Assumptions!$B$19*Assumptions!G$110*(1-Assumptions!$B$25)</f>
        <v>7614.5</v>
      </c>
      <c r="H75" s="80" t="n">
        <f aca="false">Assumptions!$B$19*Assumptions!H$110*(1-Assumptions!$B$25)</f>
        <v>7850</v>
      </c>
      <c r="I75" s="80" t="n">
        <f aca="false">Assumptions!$B$19*Assumptions!I$110*(1-Assumptions!$B$25)</f>
        <v>8007</v>
      </c>
      <c r="J75" s="80" t="n">
        <f aca="false">Assumptions!$B$19*Assumptions!J$110*(1-Assumptions!$B$25)</f>
        <v>8085.5</v>
      </c>
      <c r="K75" s="80" t="n">
        <f aca="false">Assumptions!$B$19*Assumptions!K$110*(1-Assumptions!$B$25)</f>
        <v>7928.5</v>
      </c>
      <c r="L75" s="80" t="n">
        <f aca="false">Assumptions!$B$19*Assumptions!L$110*(1-Assumptions!$B$25)</f>
        <v>8242.5</v>
      </c>
      <c r="M75" s="80" t="n">
        <f aca="false">Assumptions!$B$19*Assumptions!M$110*(1-Assumptions!$B$25)</f>
        <v>8478</v>
      </c>
      <c r="N75" s="80" t="n">
        <f aca="false">Assumptions!$B$19*Assumptions!N$110*(1-Assumptions!$B$25)</f>
        <v>8635</v>
      </c>
      <c r="O75" s="80" t="n">
        <f aca="false">Assumptions!$B$19*Assumptions!O$110*(1-Assumptions!$B$25)</f>
        <v>8792</v>
      </c>
      <c r="P75" s="80" t="n">
        <f aca="false">SUM(C75:O75)</f>
        <v>103855.5</v>
      </c>
      <c r="Q75" s="71" t="n">
        <f aca="false">AVERAGE(C75:O75)</f>
        <v>7988.88461538462</v>
      </c>
    </row>
    <row r="76" customFormat="false" ht="13.5" hidden="false" customHeight="true" outlineLevel="0" collapsed="false">
      <c r="A76" s="81" t="s">
        <v>328</v>
      </c>
      <c r="B76" s="23"/>
      <c r="C76" s="82" t="n">
        <f aca="false">SUM(C72:C75)</f>
        <v>46577.1</v>
      </c>
      <c r="D76" s="82" t="n">
        <f aca="false">SUM(D72:D75)</f>
        <v>74376.56</v>
      </c>
      <c r="E76" s="82" t="n">
        <f aca="false">SUM(E72:E75)</f>
        <v>45710.54</v>
      </c>
      <c r="F76" s="82" t="n">
        <f aca="false">SUM(F72:F75)</f>
        <v>45034.8</v>
      </c>
      <c r="G76" s="82" t="n">
        <f aca="false">SUM(G72:G75)</f>
        <v>46705.16</v>
      </c>
      <c r="H76" s="82" t="n">
        <f aca="false">SUM(H72:H75)</f>
        <v>48350.74</v>
      </c>
      <c r="I76" s="82" t="n">
        <f aca="false">SUM(I72:I75)</f>
        <v>68135.4</v>
      </c>
      <c r="J76" s="82" t="n">
        <f aca="false">SUM(J72:J75)</f>
        <v>50402.74</v>
      </c>
      <c r="K76" s="82" t="n">
        <f aca="false">SUM(K72:K75)</f>
        <v>49266.86</v>
      </c>
      <c r="L76" s="82" t="n">
        <f aca="false">SUM(L72:L75)</f>
        <v>51181.76</v>
      </c>
      <c r="M76" s="82" t="n">
        <f aca="false">SUM(M72:M75)</f>
        <v>85444.12</v>
      </c>
      <c r="N76" s="82" t="n">
        <f aca="false">SUM(N72:N75)</f>
        <v>54419.2</v>
      </c>
      <c r="O76" s="82" t="n">
        <f aca="false">SUM(O72:O75)</f>
        <v>82025.48</v>
      </c>
      <c r="P76" s="82" t="n">
        <f aca="false">SUM(C76:O76)</f>
        <v>747630.46</v>
      </c>
      <c r="Q76" s="82" t="n">
        <f aca="false">AVERAGE(C76:O76)</f>
        <v>57510.0353846154</v>
      </c>
    </row>
    <row r="77" customFormat="false" ht="6" hidden="false" customHeight="true" outlineLevel="0" collapsed="false">
      <c r="A77" s="3"/>
      <c r="B77" s="3"/>
      <c r="C77" s="3"/>
      <c r="D77" s="3"/>
      <c r="E77" s="3"/>
      <c r="F77" s="3"/>
      <c r="G77" s="3"/>
      <c r="H77" s="3"/>
      <c r="I77" s="3"/>
      <c r="J77" s="3"/>
      <c r="K77" s="3"/>
      <c r="L77" s="3"/>
      <c r="M77" s="3"/>
      <c r="N77" s="3"/>
      <c r="O77" s="3"/>
      <c r="P77" s="3"/>
      <c r="Q77" s="3"/>
    </row>
    <row r="78" customFormat="false" ht="15.75" hidden="false" customHeight="true" outlineLevel="0" collapsed="false">
      <c r="A78" s="77" t="s">
        <v>329</v>
      </c>
      <c r="B78" s="77"/>
      <c r="C78" s="77"/>
      <c r="D78" s="77"/>
      <c r="E78" s="77"/>
      <c r="F78" s="77"/>
      <c r="G78" s="77"/>
      <c r="H78" s="77"/>
      <c r="I78" s="77"/>
      <c r="J78" s="77"/>
      <c r="K78" s="77"/>
      <c r="L78" s="77"/>
      <c r="M78" s="77"/>
      <c r="N78" s="77"/>
      <c r="O78" s="77"/>
      <c r="P78" s="77"/>
      <c r="Q78" s="77"/>
    </row>
    <row r="79" customFormat="false" ht="13.5" hidden="false" customHeight="true" outlineLevel="0" collapsed="false">
      <c r="A79" s="78" t="s">
        <v>189</v>
      </c>
      <c r="B79" s="23"/>
      <c r="C79" s="83" t="n">
        <f aca="false">C72*(1-Assumptions!$B$27)</f>
        <v>7613.718</v>
      </c>
      <c r="D79" s="83" t="n">
        <f aca="false">D72*(1-Assumptions!$B$27)</f>
        <v>8655.5952</v>
      </c>
      <c r="E79" s="83" t="n">
        <f aca="false">E72*(1-Assumptions!$B$27)</f>
        <v>7373.2848</v>
      </c>
      <c r="F79" s="83" t="n">
        <f aca="false">F72*(1-Assumptions!$B$27)</f>
        <v>7212.996</v>
      </c>
      <c r="G79" s="83" t="n">
        <f aca="false">G72*(1-Assumptions!$B$27)</f>
        <v>7453.4292</v>
      </c>
      <c r="H79" s="83" t="n">
        <f aca="false">H72*(1-Assumptions!$B$27)</f>
        <v>7774.0068</v>
      </c>
      <c r="I79" s="83" t="n">
        <f aca="false">I72*(1-Assumptions!$B$27)</f>
        <v>8014.44</v>
      </c>
      <c r="J79" s="83" t="n">
        <f aca="false">J72*(1-Assumptions!$B$27)</f>
        <v>8174.7288</v>
      </c>
      <c r="K79" s="83" t="n">
        <f aca="false">K72*(1-Assumptions!$B$27)</f>
        <v>7854.1512</v>
      </c>
      <c r="L79" s="83" t="n">
        <f aca="false">L72*(1-Assumptions!$B$27)</f>
        <v>8254.8732</v>
      </c>
      <c r="M79" s="83" t="n">
        <f aca="false">M72*(1-Assumptions!$B$27)</f>
        <v>8495.3064</v>
      </c>
      <c r="N79" s="83" t="n">
        <f aca="false">N72*(1-Assumptions!$B$27)</f>
        <v>8815.884</v>
      </c>
      <c r="O79" s="83" t="n">
        <f aca="false">O72*(1-Assumptions!$B$27)</f>
        <v>9136.4616</v>
      </c>
      <c r="P79" s="83" t="n">
        <f aca="false">SUM(C79:O79)</f>
        <v>104828.8752</v>
      </c>
      <c r="Q79" s="71" t="n">
        <f aca="false">AVERAGE(C79:O79)</f>
        <v>8063.75963076923</v>
      </c>
    </row>
    <row r="80" customFormat="false" ht="13.5" hidden="false" customHeight="true" outlineLevel="0" collapsed="false">
      <c r="A80" s="78" t="s">
        <v>190</v>
      </c>
      <c r="B80" s="23"/>
      <c r="C80" s="83" t="n">
        <f aca="false">C73*(1-Assumptions!$B$28)</f>
        <v>8365.28</v>
      </c>
      <c r="D80" s="83" t="n">
        <f aca="false">D73*(1-Assumptions!$B$28)</f>
        <v>9055.2</v>
      </c>
      <c r="E80" s="83" t="n">
        <f aca="false">E73*(1-Assumptions!$B$28)</f>
        <v>8279.04</v>
      </c>
      <c r="F80" s="83" t="n">
        <f aca="false">F73*(1-Assumptions!$B$28)</f>
        <v>8192.8</v>
      </c>
      <c r="G80" s="83" t="n">
        <f aca="false">G73*(1-Assumptions!$B$28)</f>
        <v>8537.76</v>
      </c>
      <c r="H80" s="83" t="n">
        <f aca="false">H73*(1-Assumptions!$B$28)</f>
        <v>8796.48</v>
      </c>
      <c r="I80" s="83" t="n">
        <f aca="false">I73*(1-Assumptions!$B$28)</f>
        <v>8968.96</v>
      </c>
      <c r="J80" s="83" t="n">
        <f aca="false">J73*(1-Assumptions!$B$28)</f>
        <v>9141.44</v>
      </c>
      <c r="K80" s="83" t="n">
        <f aca="false">K73*(1-Assumptions!$B$28)</f>
        <v>9055.2</v>
      </c>
      <c r="L80" s="83" t="n">
        <f aca="false">L73*(1-Assumptions!$B$28)</f>
        <v>9313.92</v>
      </c>
      <c r="M80" s="83" t="n">
        <f aca="false">M73*(1-Assumptions!$B$28)</f>
        <v>9658.88</v>
      </c>
      <c r="N80" s="83" t="n">
        <f aca="false">N73*(1-Assumptions!$B$28)</f>
        <v>9917.6</v>
      </c>
      <c r="O80" s="83" t="n">
        <f aca="false">O73*(1-Assumptions!$B$28)</f>
        <v>10348.8</v>
      </c>
      <c r="P80" s="83" t="n">
        <f aca="false">SUM(C80:O80)</f>
        <v>117631.36</v>
      </c>
      <c r="Q80" s="71" t="n">
        <f aca="false">AVERAGE(C80:O80)</f>
        <v>9048.56615384616</v>
      </c>
    </row>
    <row r="81" customFormat="false" ht="13.5" hidden="false" customHeight="true" outlineLevel="0" collapsed="false">
      <c r="A81" s="78" t="s">
        <v>191</v>
      </c>
      <c r="B81" s="23"/>
      <c r="C81" s="83" t="n">
        <f aca="false">C74*(1-Assumptions!$B$29)</f>
        <v>0</v>
      </c>
      <c r="D81" s="83" t="n">
        <f aca="false">D74*(1-Assumptions!$B$29)</f>
        <v>8380.8</v>
      </c>
      <c r="E81" s="83" t="n">
        <f aca="false">E74*(1-Assumptions!$B$29)</f>
        <v>0</v>
      </c>
      <c r="F81" s="83" t="n">
        <f aca="false">F74*(1-Assumptions!$B$29)</f>
        <v>0</v>
      </c>
      <c r="G81" s="83" t="n">
        <f aca="false">G74*(1-Assumptions!$B$29)</f>
        <v>0</v>
      </c>
      <c r="H81" s="83" t="n">
        <f aca="false">H74*(1-Assumptions!$B$29)</f>
        <v>0</v>
      </c>
      <c r="I81" s="83" t="n">
        <f aca="false">I74*(1-Assumptions!$B$29)</f>
        <v>6704.64</v>
      </c>
      <c r="J81" s="83" t="n">
        <f aca="false">J74*(1-Assumptions!$B$29)</f>
        <v>0</v>
      </c>
      <c r="K81" s="83" t="n">
        <f aca="false">K74*(1-Assumptions!$B$29)</f>
        <v>0</v>
      </c>
      <c r="L81" s="83" t="n">
        <f aca="false">L74*(1-Assumptions!$B$29)</f>
        <v>0</v>
      </c>
      <c r="M81" s="83" t="n">
        <f aca="false">M74*(1-Assumptions!$B$29)</f>
        <v>11733.12</v>
      </c>
      <c r="N81" s="83" t="n">
        <f aca="false">N74*(1-Assumptions!$B$29)</f>
        <v>0</v>
      </c>
      <c r="O81" s="83" t="n">
        <f aca="false">O74*(1-Assumptions!$B$29)</f>
        <v>9218.88</v>
      </c>
      <c r="P81" s="83" t="n">
        <f aca="false">SUM(C81:O81)</f>
        <v>36037.44</v>
      </c>
      <c r="Q81" s="71" t="n">
        <f aca="false">AVERAGE(C81:O81)</f>
        <v>2772.11076923077</v>
      </c>
    </row>
    <row r="82" customFormat="false" ht="13.5" hidden="false" customHeight="true" outlineLevel="0" collapsed="false">
      <c r="A82" s="78" t="s">
        <v>192</v>
      </c>
      <c r="B82" s="23"/>
      <c r="C82" s="83" t="n">
        <f aca="false">C75*(1-Assumptions!$B$30)</f>
        <v>3014.4</v>
      </c>
      <c r="D82" s="83" t="n">
        <f aca="false">D75*(1-Assumptions!$B$30)</f>
        <v>3140</v>
      </c>
      <c r="E82" s="83" t="n">
        <f aca="false">E75*(1-Assumptions!$B$30)</f>
        <v>2983</v>
      </c>
      <c r="F82" s="83" t="n">
        <f aca="false">F75*(1-Assumptions!$B$30)</f>
        <v>2951.6</v>
      </c>
      <c r="G82" s="83" t="n">
        <f aca="false">G75*(1-Assumptions!$B$30)</f>
        <v>3045.8</v>
      </c>
      <c r="H82" s="83" t="n">
        <f aca="false">H75*(1-Assumptions!$B$30)</f>
        <v>3140</v>
      </c>
      <c r="I82" s="83" t="n">
        <f aca="false">I75*(1-Assumptions!$B$30)</f>
        <v>3202.8</v>
      </c>
      <c r="J82" s="83" t="n">
        <f aca="false">J75*(1-Assumptions!$B$30)</f>
        <v>3234.2</v>
      </c>
      <c r="K82" s="83" t="n">
        <f aca="false">K75*(1-Assumptions!$B$30)</f>
        <v>3171.4</v>
      </c>
      <c r="L82" s="83" t="n">
        <f aca="false">L75*(1-Assumptions!$B$30)</f>
        <v>3297</v>
      </c>
      <c r="M82" s="83" t="n">
        <f aca="false">M75*(1-Assumptions!$B$30)</f>
        <v>3391.2</v>
      </c>
      <c r="N82" s="83" t="n">
        <f aca="false">N75*(1-Assumptions!$B$30)</f>
        <v>3454</v>
      </c>
      <c r="O82" s="83" t="n">
        <f aca="false">O75*(1-Assumptions!$B$30)</f>
        <v>3516.8</v>
      </c>
      <c r="P82" s="83" t="n">
        <f aca="false">SUM(C82:O82)</f>
        <v>41542.2</v>
      </c>
      <c r="Q82" s="71" t="n">
        <f aca="false">AVERAGE(C82:O82)</f>
        <v>3195.55384615385</v>
      </c>
    </row>
    <row r="83" customFormat="false" ht="13.5" hidden="false" customHeight="true" outlineLevel="0" collapsed="false">
      <c r="A83" s="81" t="s">
        <v>330</v>
      </c>
      <c r="B83" s="23"/>
      <c r="C83" s="82" t="n">
        <f aca="false">SUM(C79:C82)</f>
        <v>18993.398</v>
      </c>
      <c r="D83" s="82" t="n">
        <f aca="false">SUM(D79:D82)</f>
        <v>29231.5952</v>
      </c>
      <c r="E83" s="82" t="n">
        <f aca="false">SUM(E79:E82)</f>
        <v>18635.3248</v>
      </c>
      <c r="F83" s="82" t="n">
        <f aca="false">SUM(F79:F82)</f>
        <v>18357.396</v>
      </c>
      <c r="G83" s="82" t="n">
        <f aca="false">SUM(G79:G82)</f>
        <v>19036.9892</v>
      </c>
      <c r="H83" s="82" t="n">
        <f aca="false">SUM(H79:H82)</f>
        <v>19710.4868</v>
      </c>
      <c r="I83" s="82" t="n">
        <f aca="false">SUM(I79:I82)</f>
        <v>26890.84</v>
      </c>
      <c r="J83" s="82" t="n">
        <f aca="false">SUM(J79:J82)</f>
        <v>20550.3688</v>
      </c>
      <c r="K83" s="82" t="n">
        <f aca="false">SUM(K79:K82)</f>
        <v>20080.7512</v>
      </c>
      <c r="L83" s="82" t="n">
        <f aca="false">SUM(L79:L82)</f>
        <v>20865.7932</v>
      </c>
      <c r="M83" s="82" t="n">
        <f aca="false">SUM(M79:M82)</f>
        <v>33278.5064</v>
      </c>
      <c r="N83" s="82" t="n">
        <f aca="false">SUM(N79:N82)</f>
        <v>22187.484</v>
      </c>
      <c r="O83" s="82" t="n">
        <f aca="false">SUM(O79:O82)</f>
        <v>32220.9416</v>
      </c>
      <c r="P83" s="82" t="n">
        <f aca="false">SUM(C83:O83)</f>
        <v>300039.8752</v>
      </c>
      <c r="Q83" s="82" t="n">
        <f aca="false">AVERAGE(C83:O83)</f>
        <v>23079.9904</v>
      </c>
    </row>
    <row r="84" customFormat="false" ht="6" hidden="false" customHeight="true" outlineLevel="0" collapsed="false">
      <c r="A84" s="3"/>
      <c r="B84" s="3"/>
      <c r="C84" s="3"/>
      <c r="D84" s="3"/>
      <c r="E84" s="3"/>
      <c r="F84" s="3"/>
      <c r="G84" s="3"/>
      <c r="H84" s="3"/>
      <c r="I84" s="3"/>
      <c r="J84" s="3"/>
      <c r="K84" s="3"/>
      <c r="L84" s="3"/>
      <c r="M84" s="3"/>
      <c r="N84" s="3"/>
      <c r="O84" s="3"/>
      <c r="P84" s="3"/>
      <c r="Q84" s="3"/>
    </row>
    <row r="85" customFormat="false" ht="15.75" hidden="false" customHeight="true" outlineLevel="0" collapsed="false">
      <c r="A85" s="77" t="s">
        <v>331</v>
      </c>
      <c r="B85" s="77"/>
      <c r="C85" s="77"/>
      <c r="D85" s="77"/>
      <c r="E85" s="77"/>
      <c r="F85" s="77"/>
      <c r="G85" s="77"/>
      <c r="H85" s="77"/>
      <c r="I85" s="77"/>
      <c r="J85" s="77"/>
      <c r="K85" s="77"/>
      <c r="L85" s="77"/>
      <c r="M85" s="77"/>
      <c r="N85" s="77"/>
      <c r="O85" s="77"/>
      <c r="P85" s="77"/>
      <c r="Q85" s="77"/>
    </row>
    <row r="86" customFormat="false" ht="13.5" hidden="false" customHeight="true" outlineLevel="0" collapsed="false">
      <c r="A86" s="78" t="s">
        <v>332</v>
      </c>
      <c r="B86" s="62" t="s">
        <v>153</v>
      </c>
      <c r="C86" s="83" t="n">
        <f aca="false">C83*Assumptions!$B$75</f>
        <v>11016.17084</v>
      </c>
      <c r="D86" s="83" t="n">
        <f aca="false">D83*Assumptions!$B$75</f>
        <v>16954.325216</v>
      </c>
      <c r="E86" s="83" t="n">
        <f aca="false">E83*Assumptions!$B$75</f>
        <v>10808.488384</v>
      </c>
      <c r="F86" s="83" t="n">
        <f aca="false">F83*Assumptions!$B$75</f>
        <v>10647.28968</v>
      </c>
      <c r="G86" s="83" t="n">
        <f aca="false">G83*Assumptions!$B$75</f>
        <v>11041.453736</v>
      </c>
      <c r="H86" s="83" t="n">
        <f aca="false">H83*Assumptions!$B$75</f>
        <v>11432.082344</v>
      </c>
      <c r="I86" s="83" t="n">
        <f aca="false">I83*Assumptions!$B$75</f>
        <v>15596.6872</v>
      </c>
      <c r="J86" s="83" t="n">
        <f aca="false">J83*Assumptions!$B$75</f>
        <v>11919.213904</v>
      </c>
      <c r="K86" s="83" t="n">
        <f aca="false">K83*Assumptions!$B$75</f>
        <v>11646.835696</v>
      </c>
      <c r="L86" s="83" t="n">
        <f aca="false">L83*Assumptions!$B$75</f>
        <v>12102.160056</v>
      </c>
      <c r="M86" s="83" t="n">
        <f aca="false">M83*Assumptions!$B$75</f>
        <v>19301.533712</v>
      </c>
      <c r="N86" s="83" t="n">
        <f aca="false">N83*Assumptions!$B$75</f>
        <v>12868.74072</v>
      </c>
      <c r="O86" s="83" t="n">
        <f aca="false">O83*Assumptions!$B$75</f>
        <v>18688.146128</v>
      </c>
      <c r="P86" s="83" t="n">
        <f aca="false">SUM(C86:O86)</f>
        <v>174023.127616</v>
      </c>
      <c r="Q86" s="71" t="n">
        <f aca="false">AVERAGE(C86:O86)</f>
        <v>13386.394432</v>
      </c>
    </row>
    <row r="87" customFormat="false" ht="13.5" hidden="false" customHeight="true" outlineLevel="0" collapsed="false">
      <c r="A87" s="78" t="s">
        <v>333</v>
      </c>
      <c r="B87" s="62" t="s">
        <v>334</v>
      </c>
      <c r="C87" s="83" t="n">
        <f aca="false">SUMIFS(Assumptions!$B$115:$B$118,Assumptions!$C$115:$C$118,C$5)</f>
        <v>0</v>
      </c>
      <c r="D87" s="83" t="n">
        <f aca="false">SUMIFS(Assumptions!$B$115:$B$118,Assumptions!$C$115:$C$118,D$5)</f>
        <v>54000</v>
      </c>
      <c r="E87" s="83" t="n">
        <f aca="false">SUMIFS(Assumptions!$B$115:$B$118,Assumptions!$C$115:$C$118,E$5)</f>
        <v>0</v>
      </c>
      <c r="F87" s="83" t="n">
        <f aca="false">SUMIFS(Assumptions!$B$115:$B$118,Assumptions!$C$115:$C$118,F$5)</f>
        <v>0</v>
      </c>
      <c r="G87" s="83" t="n">
        <f aca="false">SUMIFS(Assumptions!$B$115:$B$118,Assumptions!$C$115:$C$118,G$5)</f>
        <v>46000</v>
      </c>
      <c r="H87" s="83" t="n">
        <f aca="false">SUMIFS(Assumptions!$B$115:$B$118,Assumptions!$C$115:$C$118,H$5)</f>
        <v>0</v>
      </c>
      <c r="I87" s="83" t="n">
        <f aca="false">SUMIFS(Assumptions!$B$115:$B$118,Assumptions!$C$115:$C$118,I$5)</f>
        <v>0</v>
      </c>
      <c r="J87" s="83" t="n">
        <f aca="false">SUMIFS(Assumptions!$B$115:$B$118,Assumptions!$C$115:$C$118,J$5)</f>
        <v>82000</v>
      </c>
      <c r="K87" s="83" t="n">
        <f aca="false">SUMIFS(Assumptions!$B$115:$B$118,Assumptions!$C$115:$C$118,K$5)</f>
        <v>0</v>
      </c>
      <c r="L87" s="83" t="n">
        <f aca="false">SUMIFS(Assumptions!$B$115:$B$118,Assumptions!$C$115:$C$118,L$5)</f>
        <v>0</v>
      </c>
      <c r="M87" s="83" t="n">
        <f aca="false">SUMIFS(Assumptions!$B$115:$B$118,Assumptions!$C$115:$C$118,M$5)</f>
        <v>53000</v>
      </c>
      <c r="N87" s="83" t="n">
        <f aca="false">SUMIFS(Assumptions!$B$115:$B$118,Assumptions!$C$115:$C$118,N$5)</f>
        <v>0</v>
      </c>
      <c r="O87" s="83" t="n">
        <f aca="false">SUMIFS(Assumptions!$B$115:$B$118,Assumptions!$C$115:$C$118,O$5)</f>
        <v>0</v>
      </c>
      <c r="P87" s="83" t="n">
        <f aca="false">SUM(C87:O87)</f>
        <v>235000</v>
      </c>
      <c r="Q87" s="71" t="n">
        <f aca="false">AVERAGE(C87:O87)</f>
        <v>18076.9230769231</v>
      </c>
    </row>
    <row r="88" customFormat="false" ht="13.5" hidden="false" customHeight="true" outlineLevel="0" collapsed="false">
      <c r="A88" s="81" t="s">
        <v>335</v>
      </c>
      <c r="B88" s="23"/>
      <c r="C88" s="82" t="n">
        <f aca="false">C86+C87</f>
        <v>11016.17084</v>
      </c>
      <c r="D88" s="82" t="n">
        <f aca="false">D86+D87</f>
        <v>70954.325216</v>
      </c>
      <c r="E88" s="82" t="n">
        <f aca="false">E86+E87</f>
        <v>10808.488384</v>
      </c>
      <c r="F88" s="82" t="n">
        <f aca="false">F86+F87</f>
        <v>10647.28968</v>
      </c>
      <c r="G88" s="82" t="n">
        <f aca="false">G86+G87</f>
        <v>57041.453736</v>
      </c>
      <c r="H88" s="82" t="n">
        <f aca="false">H86+H87</f>
        <v>11432.082344</v>
      </c>
      <c r="I88" s="82" t="n">
        <f aca="false">I86+I87</f>
        <v>15596.6872</v>
      </c>
      <c r="J88" s="82" t="n">
        <f aca="false">J86+J87</f>
        <v>93919.213904</v>
      </c>
      <c r="K88" s="82" t="n">
        <f aca="false">K86+K87</f>
        <v>11646.835696</v>
      </c>
      <c r="L88" s="82" t="n">
        <f aca="false">L86+L87</f>
        <v>12102.160056</v>
      </c>
      <c r="M88" s="82" t="n">
        <f aca="false">M86+M87</f>
        <v>72301.533712</v>
      </c>
      <c r="N88" s="82" t="n">
        <f aca="false">N86+N87</f>
        <v>12868.74072</v>
      </c>
      <c r="O88" s="82" t="n">
        <f aca="false">O86+O87</f>
        <v>18688.146128</v>
      </c>
      <c r="P88" s="82" t="n">
        <f aca="false">SUM(C88:O88)</f>
        <v>409023.127616</v>
      </c>
      <c r="Q88" s="82" t="n">
        <f aca="false">AVERAGE(C88:O88)</f>
        <v>31463.3175089231</v>
      </c>
    </row>
  </sheetData>
  <conditionalFormatting sqref="C39:O39">
    <cfRule type="expression" priority="2" aboveAverage="0" equalAverage="0" bottom="0" percent="0" rank="0" text="" dxfId="0">
      <formula>C39&lt;C$40</formula>
    </cfRule>
    <cfRule type="expression" priority="3" aboveAverage="0" equalAverage="0" bottom="0" percent="0" rank="0" text="" dxfId="1">
      <formula>C39&lt;C$40*1.15</formula>
    </cfRule>
  </conditionalFormatting>
  <conditionalFormatting sqref="C41:O41">
    <cfRule type="cellIs" priority="4" operator="lessThan" aboveAverage="0" equalAverage="0" bottom="0" percent="0" rank="0" text="" dxfId="2">
      <formula>0</formula>
    </cfRule>
  </conditionalFormatting>
  <conditionalFormatting sqref="C38:O38">
    <cfRule type="cellIs" priority="5" operator="lessThan" aboveAverage="0" equalAverage="0" bottom="0" percent="0" rank="0" text="" dxfId="3">
      <formula>0</formula>
    </cfRule>
  </conditionalFormatting>
  <conditionalFormatting sqref="C4:O4">
    <cfRule type="expression" priority="6" aboveAverage="0" equalAverage="0" bottom="0" percent="0" rank="0" text="" dxfId="4">
      <formula>C$39=MIN($C$39:$O$39)</formula>
    </cfRule>
  </conditionalFormatting>
  <hyperlinks>
    <hyperlink ref="Q2" location="'Dashboard'!A1" display="Back to Dashboard"/>
  </hyperlinks>
  <printOptions headings="false" gridLines="false" gridLinesSet="true" horizontalCentered="false" verticalCentered="false"/>
  <pageMargins left="0.35" right="0.35" top="0.45" bottom="0.45" header="0.511811023622047" footer="0.25"/>
  <pageSetup paperSize="9" scale="100" fitToWidth="1" fitToHeight="0"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rowBreaks count="1" manualBreakCount="1">
    <brk id="60"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F4B"/>
    <pageSetUpPr fitToPage="true"/>
  </sheetPr>
  <dimension ref="A1:H6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50"/>
    <col collapsed="false" customWidth="true" hidden="false" outlineLevel="0" max="2" min="2" style="1" width="12"/>
    <col collapsed="false" customWidth="true" hidden="false" outlineLevel="0" max="6" min="3" style="1" width="15"/>
    <col collapsed="false" customWidth="true" hidden="false" outlineLevel="0" max="7" min="7" style="1" width="16"/>
    <col collapsed="false" customWidth="true" hidden="false" outlineLevel="0" max="8" min="8" style="1" width="13"/>
  </cols>
  <sheetData>
    <row r="1" customFormat="false" ht="22.5" hidden="false" customHeight="true" outlineLevel="0" collapsed="false">
      <c r="A1" s="2" t="s">
        <v>0</v>
      </c>
      <c r="B1" s="3"/>
      <c r="C1" s="3"/>
      <c r="D1" s="3"/>
      <c r="E1" s="3"/>
      <c r="F1" s="3"/>
      <c r="G1" s="3"/>
      <c r="H1" s="4" t="s">
        <v>1</v>
      </c>
    </row>
    <row r="2" customFormat="false" ht="16.5" hidden="false" customHeight="true" outlineLevel="0" collapsed="false">
      <c r="A2" s="5" t="s">
        <v>336</v>
      </c>
      <c r="B2" s="6"/>
      <c r="C2" s="6"/>
      <c r="D2" s="6"/>
      <c r="E2" s="6"/>
      <c r="F2" s="6"/>
      <c r="G2" s="6"/>
      <c r="H2" s="8" t="s">
        <v>61</v>
      </c>
    </row>
    <row r="3" customFormat="false" ht="15" hidden="false" customHeight="true" outlineLevel="0" collapsed="false">
      <c r="A3" s="26" t="s">
        <v>337</v>
      </c>
      <c r="B3" s="84" t="n">
        <v>6</v>
      </c>
      <c r="C3" s="3"/>
      <c r="D3" s="26" t="s">
        <v>338</v>
      </c>
      <c r="E3" s="3"/>
      <c r="F3" s="3"/>
      <c r="G3" s="3"/>
      <c r="H3" s="3"/>
    </row>
    <row r="4" customFormat="false" ht="30" hidden="false" customHeight="true" outlineLevel="0" collapsed="false">
      <c r="A4" s="85" t="s">
        <v>339</v>
      </c>
      <c r="B4" s="85" t="s">
        <v>340</v>
      </c>
      <c r="C4" s="53" t="s">
        <v>341</v>
      </c>
      <c r="D4" s="53" t="s">
        <v>190</v>
      </c>
      <c r="E4" s="53" t="s">
        <v>342</v>
      </c>
      <c r="F4" s="53" t="s">
        <v>192</v>
      </c>
      <c r="G4" s="53" t="s">
        <v>343</v>
      </c>
      <c r="H4" s="53" t="s">
        <v>344</v>
      </c>
    </row>
    <row r="5" customFormat="false" ht="15" hidden="false" customHeight="true" outlineLevel="0" collapsed="false">
      <c r="A5" s="27" t="s">
        <v>345</v>
      </c>
      <c r="B5" s="3"/>
      <c r="C5" s="86" t="n">
        <f aca="false">Assumptions!$I$98</f>
        <v>528000</v>
      </c>
      <c r="D5" s="86" t="n">
        <f aca="false">Assumptions!$I$99</f>
        <v>570000</v>
      </c>
      <c r="E5" s="86" t="n">
        <f aca="false">Assumptions!$I$100</f>
        <v>180000</v>
      </c>
      <c r="F5" s="86" t="n">
        <f aca="false">Assumptions!$I$101</f>
        <v>204000</v>
      </c>
      <c r="G5" s="87" t="n">
        <f aca="false">SUM(C5:F5)</f>
        <v>1482000</v>
      </c>
      <c r="H5" s="88" t="n">
        <f aca="false">IFERROR(G5/$G$7,0)</f>
        <v>1.07662801848139</v>
      </c>
    </row>
    <row r="6" customFormat="false" ht="15" hidden="false" customHeight="true" outlineLevel="0" collapsed="false">
      <c r="A6" s="27" t="s">
        <v>346</v>
      </c>
      <c r="B6" s="3"/>
      <c r="C6" s="35" t="n">
        <f aca="false">-C5*Assumptions!$B$22</f>
        <v>-31680</v>
      </c>
      <c r="D6" s="35" t="n">
        <f aca="false">-D5*Assumptions!$B$23</f>
        <v>-68400</v>
      </c>
      <c r="E6" s="35" t="n">
        <f aca="false">-E5*Assumptions!$B$24</f>
        <v>-5400</v>
      </c>
      <c r="F6" s="35" t="n">
        <f aca="false">-F5*Assumptions!$B$25</f>
        <v>-0</v>
      </c>
      <c r="G6" s="87" t="n">
        <f aca="false">SUM(C6:F6)</f>
        <v>-105480</v>
      </c>
      <c r="H6" s="88" t="n">
        <f aca="false">IFERROR(G6/$G$7,0)</f>
        <v>-0.0766280184813879</v>
      </c>
    </row>
    <row r="7" customFormat="false" ht="16.5" hidden="false" customHeight="true" outlineLevel="0" collapsed="false">
      <c r="A7" s="89" t="s">
        <v>347</v>
      </c>
      <c r="B7" s="90"/>
      <c r="C7" s="61" t="n">
        <f aca="false">C5+C6</f>
        <v>496320</v>
      </c>
      <c r="D7" s="61" t="n">
        <f aca="false">D5+D6</f>
        <v>501600</v>
      </c>
      <c r="E7" s="61" t="n">
        <f aca="false">E5+E6</f>
        <v>174600</v>
      </c>
      <c r="F7" s="61" t="n">
        <f aca="false">F5+F6</f>
        <v>204000</v>
      </c>
      <c r="G7" s="91" t="n">
        <f aca="false">SUM(C7:F7)</f>
        <v>1376520</v>
      </c>
      <c r="H7" s="92" t="n">
        <f aca="false">IFERROR(G7/$G$7,0)</f>
        <v>1</v>
      </c>
    </row>
    <row r="8" customFormat="false" ht="15" hidden="false" customHeight="true" outlineLevel="0" collapsed="false">
      <c r="A8" s="27" t="s">
        <v>329</v>
      </c>
      <c r="B8" s="3"/>
      <c r="C8" s="35" t="n">
        <f aca="false">-C7*(1-Assumptions!$B$27)</f>
        <v>-208454.4</v>
      </c>
      <c r="D8" s="35" t="n">
        <f aca="false">-D7*(1-Assumptions!$B$28)</f>
        <v>-200640</v>
      </c>
      <c r="E8" s="35" t="n">
        <f aca="false">-E7*(1-Assumptions!$B$29)</f>
        <v>-62856</v>
      </c>
      <c r="F8" s="35" t="n">
        <f aca="false">-F7*(1-Assumptions!$B$30)</f>
        <v>-81600</v>
      </c>
      <c r="G8" s="87" t="n">
        <f aca="false">SUM(C8:F8)</f>
        <v>-553550.4</v>
      </c>
      <c r="H8" s="88" t="n">
        <f aca="false">IFERROR(G8/$G$7,0)</f>
        <v>-0.402137564292564</v>
      </c>
    </row>
    <row r="9" customFormat="false" ht="16.5" hidden="false" customHeight="true" outlineLevel="0" collapsed="false">
      <c r="A9" s="89" t="s">
        <v>348</v>
      </c>
      <c r="B9" s="90"/>
      <c r="C9" s="61" t="n">
        <f aca="false">C7+C8</f>
        <v>287865.6</v>
      </c>
      <c r="D9" s="61" t="n">
        <f aca="false">D7+D8</f>
        <v>300960</v>
      </c>
      <c r="E9" s="61" t="n">
        <f aca="false">E7+E8</f>
        <v>111744</v>
      </c>
      <c r="F9" s="61" t="n">
        <f aca="false">F7+F8</f>
        <v>122400</v>
      </c>
      <c r="G9" s="91" t="n">
        <f aca="false">SUM(C9:F9)</f>
        <v>822969.6</v>
      </c>
      <c r="H9" s="92" t="n">
        <f aca="false">IFERROR(G9/$G$7,0)</f>
        <v>0.597862435707436</v>
      </c>
    </row>
    <row r="10" customFormat="false" ht="15" hidden="false" customHeight="true" outlineLevel="0" collapsed="false">
      <c r="A10" s="27" t="s">
        <v>349</v>
      </c>
      <c r="B10" s="3"/>
      <c r="C10" s="93" t="n">
        <f aca="false">IFERROR(C9/C7,0)</f>
        <v>0.58</v>
      </c>
      <c r="D10" s="93" t="n">
        <f aca="false">IFERROR(D9/D7,0)</f>
        <v>0.6</v>
      </c>
      <c r="E10" s="93" t="n">
        <f aca="false">IFERROR(E9/E7,0)</f>
        <v>0.64</v>
      </c>
      <c r="F10" s="93" t="n">
        <f aca="false">IFERROR(F9/F7,0)</f>
        <v>0.6</v>
      </c>
      <c r="G10" s="94" t="n">
        <f aca="false">IFERROR(G9/G7,0)</f>
        <v>0.597862435707436</v>
      </c>
      <c r="H10" s="3"/>
    </row>
    <row r="11" customFormat="false" ht="6" hidden="false" customHeight="true" outlineLevel="0" collapsed="false">
      <c r="A11" s="3"/>
      <c r="B11" s="3"/>
      <c r="C11" s="3"/>
      <c r="D11" s="3"/>
      <c r="E11" s="3"/>
      <c r="F11" s="3"/>
      <c r="G11" s="3"/>
      <c r="H11" s="3"/>
    </row>
    <row r="12" customFormat="false" ht="18" hidden="false" customHeight="true" outlineLevel="0" collapsed="false">
      <c r="A12" s="14" t="s">
        <v>350</v>
      </c>
      <c r="B12" s="14"/>
      <c r="C12" s="14"/>
      <c r="D12" s="14"/>
      <c r="E12" s="14"/>
      <c r="F12" s="14"/>
      <c r="G12" s="14"/>
      <c r="H12" s="14"/>
    </row>
    <row r="13" customFormat="false" ht="15" hidden="false" customHeight="true" outlineLevel="0" collapsed="false">
      <c r="A13" s="27" t="s">
        <v>351</v>
      </c>
      <c r="B13" s="3"/>
      <c r="C13" s="35" t="n">
        <f aca="false">-C7*Assumptions!$B$33</f>
        <v>-8933.76</v>
      </c>
      <c r="D13" s="35" t="n">
        <f aca="false">-D7*Assumptions!$B$34</f>
        <v>-14546.4</v>
      </c>
      <c r="E13" s="35" t="n">
        <f aca="false">-E7*Assumptions!$B$35</f>
        <v>-3317.4</v>
      </c>
      <c r="F13" s="3"/>
      <c r="G13" s="87" t="n">
        <f aca="false">SUM(C13:F13)</f>
        <v>-26797.56</v>
      </c>
      <c r="H13" s="3"/>
    </row>
    <row r="14" customFormat="false" ht="15" hidden="false" customHeight="true" outlineLevel="0" collapsed="false">
      <c r="A14" s="27" t="s">
        <v>352</v>
      </c>
      <c r="B14" s="3"/>
      <c r="C14" s="3"/>
      <c r="D14" s="35" t="n">
        <f aca="false">-D7*Assumptions!$B$38</f>
        <v>-32604</v>
      </c>
      <c r="E14" s="3"/>
      <c r="F14" s="35" t="n">
        <f aca="false">-F7*Assumptions!$B$42</f>
        <v>-3060</v>
      </c>
      <c r="G14" s="87" t="n">
        <f aca="false">SUM(C14:F14)</f>
        <v>-35664</v>
      </c>
      <c r="H14" s="3"/>
    </row>
    <row r="15" customFormat="false" ht="15" hidden="false" customHeight="true" outlineLevel="0" collapsed="false">
      <c r="A15" s="27" t="s">
        <v>353</v>
      </c>
      <c r="B15" s="95" t="n">
        <f aca="false">Assumptions!$B$41</f>
        <v>0.3</v>
      </c>
      <c r="C15" s="3"/>
      <c r="D15" s="3"/>
      <c r="E15" s="3"/>
      <c r="F15" s="35" t="n">
        <f aca="false">-F5*Assumptions!$B$41</f>
        <v>-61200</v>
      </c>
      <c r="G15" s="87" t="n">
        <f aca="false">SUM(C15:F15)</f>
        <v>-61200</v>
      </c>
      <c r="H15" s="3"/>
    </row>
    <row r="16" customFormat="false" ht="15" hidden="false" customHeight="true" outlineLevel="0" collapsed="false">
      <c r="A16" s="27" t="s">
        <v>354</v>
      </c>
      <c r="B16" s="95" t="n">
        <f aca="false">Assumptions!$B$36</f>
        <v>0.03</v>
      </c>
      <c r="C16" s="35" t="n">
        <f aca="false">-C7*Assumptions!$B$36</f>
        <v>-14889.6</v>
      </c>
      <c r="D16" s="3"/>
      <c r="E16" s="3"/>
      <c r="F16" s="3"/>
      <c r="G16" s="87" t="n">
        <f aca="false">SUM(C16:F16)</f>
        <v>-14889.6</v>
      </c>
      <c r="H16" s="3"/>
    </row>
    <row r="17" customFormat="false" ht="15" hidden="false" customHeight="true" outlineLevel="0" collapsed="false">
      <c r="A17" s="27" t="s">
        <v>355</v>
      </c>
      <c r="B17" s="95" t="n">
        <f aca="false">Assumptions!$B$39</f>
        <v>0.09</v>
      </c>
      <c r="C17" s="3"/>
      <c r="D17" s="35" t="n">
        <f aca="false">-D7*Assumptions!$B$39</f>
        <v>-45144</v>
      </c>
      <c r="E17" s="3"/>
      <c r="F17" s="3"/>
      <c r="G17" s="87" t="n">
        <f aca="false">SUM(C17:F17)</f>
        <v>-45144</v>
      </c>
      <c r="H17" s="3"/>
    </row>
    <row r="18" customFormat="false" ht="15" hidden="false" customHeight="true" outlineLevel="0" collapsed="false">
      <c r="A18" s="27" t="s">
        <v>356</v>
      </c>
      <c r="B18" s="95" t="n">
        <f aca="false">Assumptions!$B$40</f>
        <v>0.18</v>
      </c>
      <c r="C18" s="3"/>
      <c r="D18" s="3"/>
      <c r="E18" s="35" t="n">
        <f aca="false">-E7*Assumptions!$B$40</f>
        <v>-31428</v>
      </c>
      <c r="F18" s="3"/>
      <c r="G18" s="87" t="n">
        <f aca="false">SUM(C18:F18)</f>
        <v>-31428</v>
      </c>
      <c r="H18" s="3"/>
    </row>
    <row r="19" customFormat="false" ht="15" hidden="false" customHeight="true" outlineLevel="0" collapsed="false">
      <c r="A19" s="27" t="s">
        <v>357</v>
      </c>
      <c r="B19" s="95" t="n">
        <f aca="false">Assumptions!$B$37</f>
        <v>0.008</v>
      </c>
      <c r="C19" s="35" t="n">
        <f aca="false">-C7*Assumptions!$B$37</f>
        <v>-3970.56</v>
      </c>
      <c r="D19" s="3"/>
      <c r="E19" s="3"/>
      <c r="F19" s="3"/>
      <c r="G19" s="87" t="n">
        <f aca="false">SUM(C19:F19)</f>
        <v>-3970.56</v>
      </c>
      <c r="H19" s="3"/>
    </row>
    <row r="20" customFormat="false" ht="15" hidden="false" customHeight="true" outlineLevel="0" collapsed="false">
      <c r="A20" s="96" t="s">
        <v>358</v>
      </c>
      <c r="B20" s="3"/>
      <c r="C20" s="97" t="n">
        <f aca="false">SUM(C13:C19)</f>
        <v>-27793.92</v>
      </c>
      <c r="D20" s="97" t="n">
        <f aca="false">SUM(D13:D19)</f>
        <v>-92294.4</v>
      </c>
      <c r="E20" s="97" t="n">
        <f aca="false">SUM(E13:E19)</f>
        <v>-34745.4</v>
      </c>
      <c r="F20" s="97" t="n">
        <f aca="false">SUM(F13:F19)</f>
        <v>-64260</v>
      </c>
      <c r="G20" s="98" t="n">
        <f aca="false">SUM(C20:F20)</f>
        <v>-219093.72</v>
      </c>
      <c r="H20" s="88" t="n">
        <f aca="false">IFERROR(G20/$G$7,0)</f>
        <v>-0.159164937668904</v>
      </c>
    </row>
    <row r="21" customFormat="false" ht="16.5" hidden="false" customHeight="true" outlineLevel="0" collapsed="false">
      <c r="A21" s="89" t="s">
        <v>359</v>
      </c>
      <c r="B21" s="90"/>
      <c r="C21" s="61" t="n">
        <f aca="false">C9+C20</f>
        <v>260071.68</v>
      </c>
      <c r="D21" s="61" t="n">
        <f aca="false">D9+D20</f>
        <v>208665.6</v>
      </c>
      <c r="E21" s="61" t="n">
        <f aca="false">E9+E20</f>
        <v>76998.6</v>
      </c>
      <c r="F21" s="61" t="n">
        <f aca="false">F9+F20</f>
        <v>58140</v>
      </c>
      <c r="G21" s="91" t="n">
        <f aca="false">SUM(C21:F21)</f>
        <v>603875.88</v>
      </c>
      <c r="H21" s="92" t="n">
        <f aca="false">IFERROR(G21/$G$7,0)</f>
        <v>0.438697498038532</v>
      </c>
    </row>
    <row r="22" customFormat="false" ht="15" hidden="false" customHeight="true" outlineLevel="0" collapsed="false">
      <c r="A22" s="27" t="s">
        <v>360</v>
      </c>
      <c r="B22" s="3"/>
      <c r="C22" s="93" t="n">
        <f aca="false">IFERROR(C21/C7,0)</f>
        <v>0.524</v>
      </c>
      <c r="D22" s="93" t="n">
        <f aca="false">IFERROR(D21/D7,0)</f>
        <v>0.416</v>
      </c>
      <c r="E22" s="93" t="n">
        <f aca="false">IFERROR(E21/E7,0)</f>
        <v>0.441</v>
      </c>
      <c r="F22" s="93" t="n">
        <f aca="false">IFERROR(F21/F7,0)</f>
        <v>0.285</v>
      </c>
      <c r="G22" s="94" t="n">
        <f aca="false">IFERROR(G21/G7,0)</f>
        <v>0.438697498038532</v>
      </c>
      <c r="H22" s="3"/>
    </row>
    <row r="23" customFormat="false" ht="6" hidden="false" customHeight="true" outlineLevel="0" collapsed="false">
      <c r="A23" s="3"/>
      <c r="B23" s="3"/>
      <c r="C23" s="3"/>
      <c r="D23" s="3"/>
      <c r="E23" s="3"/>
      <c r="F23" s="3"/>
      <c r="G23" s="3"/>
      <c r="H23" s="3"/>
    </row>
    <row r="24" customFormat="false" ht="18" hidden="false" customHeight="true" outlineLevel="0" collapsed="false">
      <c r="A24" s="14" t="s">
        <v>361</v>
      </c>
      <c r="B24" s="14"/>
      <c r="C24" s="14"/>
      <c r="D24" s="14"/>
      <c r="E24" s="14"/>
      <c r="F24" s="14"/>
      <c r="G24" s="14"/>
      <c r="H24" s="14"/>
    </row>
    <row r="25" customFormat="false" ht="15" hidden="false" customHeight="true" outlineLevel="0" collapsed="false">
      <c r="A25" s="27" t="s">
        <v>118</v>
      </c>
      <c r="B25" s="3"/>
      <c r="C25" s="35" t="n">
        <f aca="false">-Assumptions!$B$45*$B$3</f>
        <v>-132000</v>
      </c>
      <c r="D25" s="3"/>
      <c r="E25" s="3"/>
      <c r="F25" s="3"/>
      <c r="G25" s="87" t="n">
        <f aca="false">SUM(C25:F25)</f>
        <v>-132000</v>
      </c>
      <c r="H25" s="3"/>
    </row>
    <row r="26" customFormat="false" ht="15" hidden="false" customHeight="true" outlineLevel="0" collapsed="false">
      <c r="A26" s="27" t="s">
        <v>362</v>
      </c>
      <c r="B26" s="3"/>
      <c r="C26" s="35" t="n">
        <f aca="false">-Assumptions!$B$46*$B$3</f>
        <v>-111000</v>
      </c>
      <c r="D26" s="3"/>
      <c r="E26" s="3"/>
      <c r="F26" s="3"/>
      <c r="G26" s="87" t="n">
        <f aca="false">SUM(C26:F26)</f>
        <v>-111000</v>
      </c>
      <c r="H26" s="3"/>
    </row>
    <row r="27" customFormat="false" ht="15" hidden="false" customHeight="true" outlineLevel="0" collapsed="false">
      <c r="A27" s="27" t="s">
        <v>122</v>
      </c>
      <c r="B27" s="3"/>
      <c r="C27" s="35" t="n">
        <f aca="false">-Assumptions!$B$47*$B$3</f>
        <v>-15600</v>
      </c>
      <c r="D27" s="3"/>
      <c r="E27" s="3"/>
      <c r="F27" s="3"/>
      <c r="G27" s="87" t="n">
        <f aca="false">SUM(C27:F27)</f>
        <v>-15600</v>
      </c>
      <c r="H27" s="3"/>
    </row>
    <row r="28" customFormat="false" ht="15" hidden="false" customHeight="true" outlineLevel="0" collapsed="false">
      <c r="A28" s="27" t="s">
        <v>123</v>
      </c>
      <c r="B28" s="3"/>
      <c r="C28" s="35" t="n">
        <f aca="false">-Assumptions!$B$48*$B$3</f>
        <v>-2700</v>
      </c>
      <c r="D28" s="3"/>
      <c r="E28" s="3"/>
      <c r="F28" s="3"/>
      <c r="G28" s="87" t="n">
        <f aca="false">SUM(C28:F28)</f>
        <v>-2700</v>
      </c>
      <c r="H28" s="3"/>
    </row>
    <row r="29" customFormat="false" ht="15" hidden="false" customHeight="true" outlineLevel="0" collapsed="false">
      <c r="A29" s="27" t="s">
        <v>124</v>
      </c>
      <c r="B29" s="3"/>
      <c r="C29" s="35" t="n">
        <f aca="false">-Assumptions!$B$49*$B$3</f>
        <v>-5400</v>
      </c>
      <c r="D29" s="3"/>
      <c r="E29" s="3"/>
      <c r="F29" s="3"/>
      <c r="G29" s="87" t="n">
        <f aca="false">SUM(C29:F29)</f>
        <v>-5400</v>
      </c>
      <c r="H29" s="3"/>
    </row>
    <row r="30" customFormat="false" ht="15" hidden="false" customHeight="true" outlineLevel="0" collapsed="false">
      <c r="A30" s="27" t="s">
        <v>127</v>
      </c>
      <c r="B30" s="3"/>
      <c r="C30" s="3"/>
      <c r="D30" s="35" t="n">
        <f aca="false">-Assumptions!$B$53*$B$3</f>
        <v>-6600</v>
      </c>
      <c r="E30" s="3"/>
      <c r="F30" s="3"/>
      <c r="G30" s="87" t="n">
        <f aca="false">SUM(C30:F30)</f>
        <v>-6600</v>
      </c>
      <c r="H30" s="3"/>
    </row>
    <row r="31" customFormat="false" ht="15" hidden="false" customHeight="true" outlineLevel="0" collapsed="false">
      <c r="A31" s="27" t="s">
        <v>128</v>
      </c>
      <c r="B31" s="3"/>
      <c r="C31" s="3"/>
      <c r="D31" s="35" t="n">
        <f aca="false">-Assumptions!$B$54*$B$3</f>
        <v>-31200</v>
      </c>
      <c r="E31" s="3"/>
      <c r="F31" s="3"/>
      <c r="G31" s="87" t="n">
        <f aca="false">SUM(C31:F31)</f>
        <v>-31200</v>
      </c>
      <c r="H31" s="3"/>
    </row>
    <row r="32" customFormat="false" ht="15" hidden="false" customHeight="true" outlineLevel="0" collapsed="false">
      <c r="A32" s="96" t="s">
        <v>363</v>
      </c>
      <c r="B32" s="3"/>
      <c r="C32" s="97" t="n">
        <f aca="false">SUM(C25:C31)</f>
        <v>-266700</v>
      </c>
      <c r="D32" s="97" t="n">
        <f aca="false">SUM(D25:D31)</f>
        <v>-37800</v>
      </c>
      <c r="E32" s="97" t="n">
        <f aca="false">SUM(E25:E31)</f>
        <v>0</v>
      </c>
      <c r="F32" s="97" t="n">
        <f aca="false">SUM(F25:F31)</f>
        <v>0</v>
      </c>
      <c r="G32" s="98" t="n">
        <f aca="false">SUM(C32:F32)</f>
        <v>-304500</v>
      </c>
      <c r="H32" s="88" t="n">
        <f aca="false">IFERROR(G32/$G$7,0)</f>
        <v>-0.221210007845872</v>
      </c>
    </row>
    <row r="33" customFormat="false" ht="16.5" hidden="false" customHeight="true" outlineLevel="0" collapsed="false">
      <c r="A33" s="89" t="s">
        <v>364</v>
      </c>
      <c r="B33" s="90"/>
      <c r="C33" s="61" t="n">
        <f aca="false">C21+C32</f>
        <v>-6628.32000000004</v>
      </c>
      <c r="D33" s="61" t="n">
        <f aca="false">D21+D32</f>
        <v>170865.6</v>
      </c>
      <c r="E33" s="61" t="n">
        <f aca="false">E21+E32</f>
        <v>76998.6</v>
      </c>
      <c r="F33" s="61" t="n">
        <f aca="false">F21+F32</f>
        <v>58140</v>
      </c>
      <c r="G33" s="91" t="n">
        <f aca="false">SUM(C33:F33)</f>
        <v>299375.88</v>
      </c>
      <c r="H33" s="92" t="n">
        <f aca="false">IFERROR(G33/$G$7,0)</f>
        <v>0.21748749019266</v>
      </c>
    </row>
    <row r="34" customFormat="false" ht="15" hidden="false" customHeight="true" outlineLevel="0" collapsed="false">
      <c r="A34" s="27" t="s">
        <v>365</v>
      </c>
      <c r="B34" s="3"/>
      <c r="C34" s="93" t="n">
        <f aca="false">IFERROR(C33/C7,0)</f>
        <v>-0.0133549323017409</v>
      </c>
      <c r="D34" s="93" t="n">
        <f aca="false">IFERROR(D33/D7,0)</f>
        <v>0.340641148325359</v>
      </c>
      <c r="E34" s="93" t="n">
        <f aca="false">IFERROR(E33/E7,0)</f>
        <v>0.441</v>
      </c>
      <c r="F34" s="93" t="n">
        <f aca="false">IFERROR(F33/F7,0)</f>
        <v>0.285</v>
      </c>
      <c r="G34" s="94" t="n">
        <f aca="false">IFERROR(G33/G7,0)</f>
        <v>0.21748749019266</v>
      </c>
      <c r="H34" s="3"/>
    </row>
    <row r="35" customFormat="false" ht="6" hidden="false" customHeight="true" outlineLevel="0" collapsed="false">
      <c r="A35" s="3"/>
      <c r="B35" s="3"/>
      <c r="C35" s="3"/>
      <c r="D35" s="3"/>
      <c r="E35" s="3"/>
      <c r="F35" s="3"/>
      <c r="G35" s="3"/>
      <c r="H35" s="3"/>
    </row>
    <row r="36" customFormat="false" ht="18" hidden="false" customHeight="true" outlineLevel="0" collapsed="false">
      <c r="A36" s="14" t="s">
        <v>366</v>
      </c>
      <c r="B36" s="14"/>
      <c r="C36" s="14"/>
      <c r="D36" s="14"/>
      <c r="E36" s="14"/>
      <c r="F36" s="14"/>
      <c r="G36" s="14"/>
      <c r="H36" s="14"/>
    </row>
    <row r="37" customFormat="false" ht="15" hidden="false" customHeight="true" outlineLevel="0" collapsed="false">
      <c r="A37" s="27" t="s">
        <v>131</v>
      </c>
      <c r="B37" s="3"/>
      <c r="C37" s="3"/>
      <c r="D37" s="3"/>
      <c r="E37" s="3"/>
      <c r="F37" s="3"/>
      <c r="G37" s="87" t="n">
        <f aca="false">-Assumptions!$B$58*$B$3</f>
        <v>-126000</v>
      </c>
      <c r="H37" s="3"/>
    </row>
    <row r="38" customFormat="false" ht="15" hidden="false" customHeight="true" outlineLevel="0" collapsed="false">
      <c r="A38" s="27" t="s">
        <v>284</v>
      </c>
      <c r="B38" s="3"/>
      <c r="C38" s="3"/>
      <c r="D38" s="3"/>
      <c r="E38" s="3"/>
      <c r="F38" s="3"/>
      <c r="G38" s="87" t="n">
        <f aca="false">-Assumptions!$B$59*$B$3</f>
        <v>-10800</v>
      </c>
      <c r="H38" s="3"/>
    </row>
    <row r="39" customFormat="false" ht="15" hidden="false" customHeight="true" outlineLevel="0" collapsed="false">
      <c r="A39" s="27" t="s">
        <v>367</v>
      </c>
      <c r="B39" s="3"/>
      <c r="C39" s="3"/>
      <c r="D39" s="3"/>
      <c r="E39" s="3"/>
      <c r="F39" s="3"/>
      <c r="G39" s="87" t="n">
        <f aca="false">-Assumptions!$B$60*$B$3</f>
        <v>-5400</v>
      </c>
      <c r="H39" s="3"/>
    </row>
    <row r="40" customFormat="false" ht="15" hidden="false" customHeight="true" outlineLevel="0" collapsed="false">
      <c r="A40" s="27" t="s">
        <v>134</v>
      </c>
      <c r="B40" s="3"/>
      <c r="C40" s="3"/>
      <c r="D40" s="3"/>
      <c r="E40" s="3"/>
      <c r="F40" s="3"/>
      <c r="G40" s="87" t="n">
        <f aca="false">-Assumptions!$B$61*$B$3</f>
        <v>-27000</v>
      </c>
      <c r="H40" s="3"/>
    </row>
    <row r="41" customFormat="false" ht="15" hidden="false" customHeight="true" outlineLevel="0" collapsed="false">
      <c r="A41" s="27" t="s">
        <v>135</v>
      </c>
      <c r="B41" s="3"/>
      <c r="C41" s="3"/>
      <c r="D41" s="3"/>
      <c r="E41" s="3"/>
      <c r="F41" s="3"/>
      <c r="G41" s="87" t="n">
        <f aca="false">-Assumptions!$B$62*$B$3</f>
        <v>-9000</v>
      </c>
      <c r="H41" s="3"/>
    </row>
    <row r="42" customFormat="false" ht="15" hidden="false" customHeight="true" outlineLevel="0" collapsed="false">
      <c r="A42" s="96" t="s">
        <v>136</v>
      </c>
      <c r="B42" s="3"/>
      <c r="C42" s="99"/>
      <c r="D42" s="99"/>
      <c r="E42" s="99"/>
      <c r="F42" s="99"/>
      <c r="G42" s="98" t="n">
        <f aca="false">SUM(G37:G41)</f>
        <v>-178200</v>
      </c>
      <c r="H42" s="88" t="n">
        <f aca="false">IFERROR(G42/$G$7,0)</f>
        <v>-0.129456891291082</v>
      </c>
    </row>
    <row r="43" customFormat="false" ht="6" hidden="false" customHeight="true" outlineLevel="0" collapsed="false">
      <c r="A43" s="3"/>
      <c r="B43" s="3"/>
      <c r="C43" s="3"/>
      <c r="D43" s="3"/>
      <c r="E43" s="3"/>
      <c r="F43" s="3"/>
      <c r="G43" s="3"/>
      <c r="H43" s="3"/>
    </row>
    <row r="44" customFormat="false" ht="16.5" hidden="false" customHeight="true" outlineLevel="0" collapsed="false">
      <c r="A44" s="100" t="s">
        <v>368</v>
      </c>
      <c r="B44" s="90"/>
      <c r="C44" s="101"/>
      <c r="D44" s="101"/>
      <c r="E44" s="101"/>
      <c r="F44" s="101"/>
      <c r="G44" s="91" t="n">
        <f aca="false">G33+G42</f>
        <v>121175.88</v>
      </c>
      <c r="H44" s="92" t="n">
        <f aca="false">IFERROR(G44/$G$7,0)</f>
        <v>0.0880305989015779</v>
      </c>
    </row>
    <row r="45" customFormat="false" ht="15" hidden="false" customHeight="true" outlineLevel="0" collapsed="false">
      <c r="A45" s="96" t="s">
        <v>369</v>
      </c>
      <c r="B45" s="3"/>
      <c r="C45" s="3"/>
      <c r="D45" s="3"/>
      <c r="E45" s="3"/>
      <c r="F45" s="3"/>
      <c r="G45" s="94" t="n">
        <f aca="false">IFERROR(G44/G7,0)</f>
        <v>0.0880305989015779</v>
      </c>
      <c r="H45" s="3"/>
    </row>
    <row r="46" customFormat="false" ht="6" hidden="false" customHeight="true" outlineLevel="0" collapsed="false">
      <c r="A46" s="3"/>
      <c r="B46" s="3"/>
      <c r="C46" s="3"/>
      <c r="D46" s="3"/>
      <c r="E46" s="3"/>
      <c r="F46" s="3"/>
      <c r="G46" s="3"/>
      <c r="H46" s="3"/>
    </row>
    <row r="47" customFormat="false" ht="18" hidden="false" customHeight="true" outlineLevel="0" collapsed="false">
      <c r="A47" s="14" t="s">
        <v>370</v>
      </c>
      <c r="B47" s="14"/>
      <c r="C47" s="14"/>
      <c r="D47" s="14"/>
      <c r="E47" s="14"/>
      <c r="F47" s="14"/>
      <c r="G47" s="14"/>
      <c r="H47" s="14"/>
    </row>
    <row r="48" customFormat="false" ht="15" hidden="false" customHeight="true" outlineLevel="0" collapsed="false">
      <c r="A48" s="27" t="s">
        <v>371</v>
      </c>
      <c r="B48" s="3"/>
      <c r="C48" s="93" t="n">
        <f aca="false">IFERROR(C7/$G$7,0)</f>
        <v>0.36056141574405</v>
      </c>
      <c r="D48" s="93" t="n">
        <f aca="false">IFERROR(D7/$G$7,0)</f>
        <v>0.364397175486008</v>
      </c>
      <c r="E48" s="93" t="n">
        <f aca="false">IFERROR(E7/$G$7,0)</f>
        <v>0.126841600557929</v>
      </c>
      <c r="F48" s="93" t="n">
        <f aca="false">IFERROR(F7/$G$7,0)</f>
        <v>0.148199808212013</v>
      </c>
      <c r="G48" s="94" t="n">
        <f aca="false">SUM(C48:F48)</f>
        <v>1</v>
      </c>
      <c r="H48" s="3"/>
    </row>
    <row r="49" customFormat="false" ht="15" hidden="false" customHeight="true" outlineLevel="0" collapsed="false">
      <c r="A49" s="27" t="s">
        <v>372</v>
      </c>
      <c r="B49" s="3"/>
      <c r="C49" s="35" t="n">
        <f aca="false">$G$42*C48</f>
        <v>-64252.0442855898</v>
      </c>
      <c r="D49" s="35" t="n">
        <f aca="false">$G$42*D48</f>
        <v>-64935.5766716067</v>
      </c>
      <c r="E49" s="35" t="n">
        <f aca="false">$G$42*E48</f>
        <v>-22603.1732194229</v>
      </c>
      <c r="F49" s="35" t="n">
        <f aca="false">$G$42*F48</f>
        <v>-26409.2058233807</v>
      </c>
      <c r="G49" s="87" t="n">
        <f aca="false">SUM(C49:F49)</f>
        <v>-178200</v>
      </c>
      <c r="H49" s="3"/>
    </row>
    <row r="50" customFormat="false" ht="15" hidden="false" customHeight="true" outlineLevel="0" collapsed="false">
      <c r="A50" s="27" t="s">
        <v>373</v>
      </c>
      <c r="B50" s="3"/>
      <c r="C50" s="102" t="n">
        <f aca="false">C33+C49</f>
        <v>-70880.3642855898</v>
      </c>
      <c r="D50" s="102" t="n">
        <f aca="false">D33+D49</f>
        <v>105930.023328393</v>
      </c>
      <c r="E50" s="102" t="n">
        <f aca="false">E33+E49</f>
        <v>54395.4267805771</v>
      </c>
      <c r="F50" s="102" t="n">
        <f aca="false">F33+F49</f>
        <v>31730.7941766193</v>
      </c>
      <c r="G50" s="103" t="n">
        <f aca="false">SUM(C50:F50)</f>
        <v>121175.88</v>
      </c>
      <c r="H50" s="3"/>
    </row>
    <row r="51" customFormat="false" ht="15" hidden="false" customHeight="true" outlineLevel="0" collapsed="false">
      <c r="A51" s="46" t="s">
        <v>374</v>
      </c>
      <c r="B51" s="3"/>
      <c r="C51" s="3"/>
      <c r="D51" s="3"/>
      <c r="E51" s="3"/>
      <c r="F51" s="3"/>
      <c r="G51" s="104" t="n">
        <f aca="false">G49-G42</f>
        <v>0</v>
      </c>
      <c r="H51" s="3"/>
    </row>
    <row r="52" customFormat="false" ht="6" hidden="false" customHeight="true" outlineLevel="0" collapsed="false">
      <c r="A52" s="3"/>
      <c r="B52" s="3"/>
      <c r="C52" s="3"/>
      <c r="D52" s="3"/>
      <c r="E52" s="3"/>
      <c r="F52" s="3"/>
      <c r="G52" s="3"/>
      <c r="H52" s="3"/>
    </row>
    <row r="53" customFormat="false" ht="18" hidden="false" customHeight="true" outlineLevel="0" collapsed="false">
      <c r="A53" s="14" t="s">
        <v>375</v>
      </c>
      <c r="B53" s="14"/>
      <c r="C53" s="14"/>
      <c r="D53" s="14"/>
      <c r="E53" s="14"/>
      <c r="F53" s="14"/>
      <c r="G53" s="14"/>
      <c r="H53" s="14"/>
    </row>
    <row r="54" customFormat="false" ht="15" hidden="false" customHeight="true" outlineLevel="0" collapsed="false">
      <c r="A54" s="27" t="s">
        <v>376</v>
      </c>
      <c r="B54" s="3"/>
      <c r="C54" s="35" t="n">
        <f aca="false">C7/$B$3</f>
        <v>82720</v>
      </c>
      <c r="D54" s="35" t="n">
        <f aca="false">D7/$B$3</f>
        <v>83600</v>
      </c>
      <c r="E54" s="35" t="n">
        <f aca="false">E7/$B$3</f>
        <v>29100</v>
      </c>
      <c r="F54" s="35" t="n">
        <f aca="false">F7/$B$3</f>
        <v>34000</v>
      </c>
      <c r="G54" s="87" t="n">
        <f aca="false">SUM(C54:F54)</f>
        <v>229420</v>
      </c>
      <c r="H54" s="3"/>
    </row>
    <row r="55" customFormat="false" ht="15" hidden="false" customHeight="true" outlineLevel="0" collapsed="false">
      <c r="A55" s="27" t="s">
        <v>377</v>
      </c>
      <c r="B55" s="3"/>
      <c r="C55" s="35" t="n">
        <f aca="false">C8/$B$3</f>
        <v>-34742.4</v>
      </c>
      <c r="D55" s="35" t="n">
        <f aca="false">D8/$B$3</f>
        <v>-33440</v>
      </c>
      <c r="E55" s="35" t="n">
        <f aca="false">E8/$B$3</f>
        <v>-10476</v>
      </c>
      <c r="F55" s="35" t="n">
        <f aca="false">F8/$B$3</f>
        <v>-13600</v>
      </c>
      <c r="G55" s="87" t="n">
        <f aca="false">SUM(C55:F55)</f>
        <v>-92258.4</v>
      </c>
      <c r="H55" s="3"/>
    </row>
    <row r="56" customFormat="false" ht="15" hidden="false" customHeight="true" outlineLevel="0" collapsed="false">
      <c r="A56" s="27" t="s">
        <v>378</v>
      </c>
      <c r="B56" s="3"/>
      <c r="C56" s="35" t="n">
        <f aca="false">C20/$B$3</f>
        <v>-4632.32</v>
      </c>
      <c r="D56" s="35" t="n">
        <f aca="false">D20/$B$3</f>
        <v>-15382.4</v>
      </c>
      <c r="E56" s="35" t="n">
        <f aca="false">E20/$B$3</f>
        <v>-5790.9</v>
      </c>
      <c r="F56" s="35" t="n">
        <f aca="false">F20/$B$3</f>
        <v>-10710</v>
      </c>
      <c r="G56" s="87" t="n">
        <f aca="false">SUM(C56:F56)</f>
        <v>-36515.62</v>
      </c>
      <c r="H56" s="3"/>
    </row>
    <row r="57" customFormat="false" ht="15" hidden="false" customHeight="true" outlineLevel="0" collapsed="false">
      <c r="A57" s="27" t="s">
        <v>379</v>
      </c>
      <c r="B57" s="3"/>
      <c r="C57" s="35" t="n">
        <f aca="false">C21/$B$3</f>
        <v>43345.28</v>
      </c>
      <c r="D57" s="35" t="n">
        <f aca="false">D21/$B$3</f>
        <v>34777.6</v>
      </c>
      <c r="E57" s="35" t="n">
        <f aca="false">E21/$B$3</f>
        <v>12833.1</v>
      </c>
      <c r="F57" s="35" t="n">
        <f aca="false">F21/$B$3</f>
        <v>9690</v>
      </c>
      <c r="G57" s="87" t="n">
        <f aca="false">SUM(C57:F57)</f>
        <v>100645.98</v>
      </c>
      <c r="H57" s="3"/>
    </row>
    <row r="58" customFormat="false" ht="15" hidden="false" customHeight="true" outlineLevel="0" collapsed="false">
      <c r="A58" s="27" t="s">
        <v>380</v>
      </c>
      <c r="B58" s="3"/>
      <c r="C58" s="35" t="n">
        <f aca="false">C32/$B$3</f>
        <v>-44450</v>
      </c>
      <c r="D58" s="35" t="n">
        <f aca="false">D32/$B$3</f>
        <v>-6300</v>
      </c>
      <c r="E58" s="35" t="n">
        <f aca="false">E32/$B$3</f>
        <v>0</v>
      </c>
      <c r="F58" s="35" t="n">
        <f aca="false">F32/$B$3</f>
        <v>0</v>
      </c>
      <c r="G58" s="87" t="n">
        <f aca="false">SUM(C58:F58)</f>
        <v>-50750</v>
      </c>
      <c r="H58" s="3"/>
    </row>
    <row r="59" customFormat="false" ht="15" hidden="false" customHeight="true" outlineLevel="0" collapsed="false">
      <c r="A59" s="27" t="s">
        <v>381</v>
      </c>
      <c r="B59" s="3"/>
      <c r="C59" s="102" t="n">
        <f aca="false">C33/$B$3</f>
        <v>-1104.72000000001</v>
      </c>
      <c r="D59" s="102" t="n">
        <f aca="false">D33/$B$3</f>
        <v>28477.6</v>
      </c>
      <c r="E59" s="102" t="n">
        <f aca="false">E33/$B$3</f>
        <v>12833.1</v>
      </c>
      <c r="F59" s="102" t="n">
        <f aca="false">F33/$B$3</f>
        <v>9690</v>
      </c>
      <c r="G59" s="103" t="n">
        <f aca="false">SUM(C59:F59)</f>
        <v>49895.98</v>
      </c>
      <c r="H59" s="3"/>
    </row>
    <row r="60" customFormat="false" ht="15" hidden="false" customHeight="true" outlineLevel="0" collapsed="false">
      <c r="A60" s="3"/>
      <c r="B60" s="3"/>
      <c r="C60" s="3"/>
      <c r="D60" s="3"/>
      <c r="E60" s="3"/>
      <c r="F60" s="3"/>
      <c r="G60" s="3"/>
      <c r="H60" s="3"/>
    </row>
    <row r="61" customFormat="false" ht="39.75" hidden="false" customHeight="true" outlineLevel="0" collapsed="false">
      <c r="A61" s="105" t="s">
        <v>382</v>
      </c>
      <c r="B61" s="105"/>
      <c r="C61" s="105"/>
      <c r="D61" s="105"/>
      <c r="E61" s="105"/>
      <c r="F61" s="105"/>
      <c r="G61" s="105"/>
      <c r="H61" s="105"/>
    </row>
  </sheetData>
  <mergeCells count="1">
    <mergeCell ref="A61:H61"/>
  </mergeCells>
  <conditionalFormatting sqref="C33:F33">
    <cfRule type="cellIs" priority="2" operator="lessThan" aboveAverage="0" equalAverage="0" bottom="0" percent="0" rank="0" text="" dxfId="5">
      <formula>0</formula>
    </cfRule>
  </conditionalFormatting>
  <conditionalFormatting sqref="C50:F50">
    <cfRule type="cellIs" priority="3" operator="lessThan" aboveAverage="0" equalAverage="0" bottom="0" percent="0" rank="0" text="" dxfId="6">
      <formula>0</formula>
    </cfRule>
  </conditionalFormatting>
  <hyperlinks>
    <hyperlink ref="H2" location="'Dashboard'!A1" display="Back to Dashboard"/>
  </hyperlinks>
  <printOptions headings="false" gridLines="false" gridLinesSet="true" horizontalCentered="false" verticalCentered="false"/>
  <pageMargins left="0.35" right="0.35" top="0.45" bottom="0.45" header="0.511811023622047" footer="0.25"/>
  <pageSetup paperSize="9" scale="100" fitToWidth="1" fitToHeight="0"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rowBreaks count="1" manualBreakCount="1">
    <brk id="45"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F4B"/>
    <pageSetUpPr fitToPage="true"/>
  </sheetPr>
  <dimension ref="A1:H71"/>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8" min="2" style="1" width="15"/>
  </cols>
  <sheetData>
    <row r="1" customFormat="false" ht="22.5" hidden="false" customHeight="true" outlineLevel="0" collapsed="false">
      <c r="A1" s="2" t="s">
        <v>0</v>
      </c>
      <c r="B1" s="3"/>
      <c r="C1" s="3"/>
      <c r="D1" s="3"/>
      <c r="E1" s="3"/>
      <c r="F1" s="3"/>
      <c r="G1" s="3"/>
      <c r="H1" s="4" t="s">
        <v>1</v>
      </c>
    </row>
    <row r="2" customFormat="false" ht="16.5" hidden="false" customHeight="true" outlineLevel="0" collapsed="false">
      <c r="A2" s="5" t="s">
        <v>383</v>
      </c>
      <c r="B2" s="6"/>
      <c r="C2" s="6"/>
      <c r="D2" s="6"/>
      <c r="E2" s="6"/>
      <c r="F2" s="6"/>
      <c r="G2" s="6"/>
      <c r="H2" s="8" t="s">
        <v>61</v>
      </c>
    </row>
    <row r="3" customFormat="false" ht="18" hidden="false" customHeight="true" outlineLevel="0" collapsed="false">
      <c r="A3" s="3"/>
      <c r="B3" s="3"/>
      <c r="C3" s="3"/>
      <c r="D3" s="3"/>
      <c r="E3" s="14" t="s">
        <v>384</v>
      </c>
      <c r="F3" s="14"/>
      <c r="G3" s="14"/>
      <c r="H3" s="14"/>
    </row>
    <row r="4" customFormat="false" ht="13.5" hidden="false" customHeight="true" outlineLevel="0" collapsed="false">
      <c r="A4" s="14" t="s">
        <v>385</v>
      </c>
      <c r="B4" s="14"/>
      <c r="C4" s="14"/>
      <c r="D4" s="14"/>
      <c r="E4" s="106" t="s">
        <v>386</v>
      </c>
      <c r="F4" s="107"/>
      <c r="G4" s="106" t="s">
        <v>387</v>
      </c>
      <c r="H4" s="107"/>
    </row>
    <row r="5" customFormat="false" ht="21.75" hidden="false" customHeight="true" outlineLevel="0" collapsed="false">
      <c r="A5" s="27" t="s">
        <v>388</v>
      </c>
      <c r="B5" s="3"/>
      <c r="C5" s="86" t="n">
        <f aca="false">'Channel Profitability'!$C$54</f>
        <v>82720</v>
      </c>
      <c r="D5" s="23"/>
      <c r="E5" s="108" t="n">
        <f aca="false">$C$33</f>
        <v>82720</v>
      </c>
      <c r="F5" s="108"/>
      <c r="G5" s="108" t="n">
        <f aca="false">$C$31</f>
        <v>84828.2442748092</v>
      </c>
      <c r="H5" s="108"/>
    </row>
    <row r="6" customFormat="false" ht="13.5" hidden="false" customHeight="true" outlineLevel="0" collapsed="false">
      <c r="A6" s="27" t="s">
        <v>329</v>
      </c>
      <c r="B6" s="3"/>
      <c r="C6" s="86" t="n">
        <f aca="false">'Channel Profitability'!$C$55</f>
        <v>-34742.4</v>
      </c>
      <c r="D6" s="3"/>
      <c r="E6" s="109" t="s">
        <v>389</v>
      </c>
      <c r="F6" s="110"/>
      <c r="G6" s="109" t="s">
        <v>390</v>
      </c>
      <c r="H6" s="110"/>
    </row>
    <row r="7" customFormat="false" ht="16.5" hidden="false" customHeight="true" outlineLevel="0" collapsed="false">
      <c r="A7" s="65" t="s">
        <v>348</v>
      </c>
      <c r="B7" s="3"/>
      <c r="C7" s="111" t="n">
        <f aca="false">C5+C6</f>
        <v>47977.6</v>
      </c>
      <c r="D7" s="3"/>
      <c r="E7" s="3"/>
      <c r="F7" s="3"/>
      <c r="G7" s="3"/>
      <c r="H7" s="3"/>
    </row>
    <row r="8" customFormat="false" ht="13.5" hidden="false" customHeight="true" outlineLevel="0" collapsed="false">
      <c r="A8" s="27" t="s">
        <v>349</v>
      </c>
      <c r="B8" s="3"/>
      <c r="C8" s="93" t="n">
        <f aca="false">IFERROR(C7/C5,0)</f>
        <v>0.58</v>
      </c>
      <c r="D8" s="3"/>
      <c r="E8" s="106" t="s">
        <v>391</v>
      </c>
      <c r="F8" s="112"/>
      <c r="G8" s="106" t="s">
        <v>392</v>
      </c>
      <c r="H8" s="112"/>
    </row>
    <row r="9" customFormat="false" ht="21.75" hidden="false" customHeight="true" outlineLevel="0" collapsed="false">
      <c r="A9" s="3"/>
      <c r="B9" s="3"/>
      <c r="C9" s="3"/>
      <c r="D9" s="3"/>
      <c r="E9" s="108" t="n">
        <f aca="false">$C$34</f>
        <v>-2108.24427480916</v>
      </c>
      <c r="F9" s="108"/>
      <c r="G9" s="113" t="n">
        <f aca="false">$C$35</f>
        <v>-0.0254865120262229</v>
      </c>
      <c r="H9" s="113"/>
    </row>
    <row r="10" customFormat="false" ht="13.5" hidden="false" customHeight="true" outlineLevel="0" collapsed="false">
      <c r="A10" s="77" t="s">
        <v>393</v>
      </c>
      <c r="B10" s="77"/>
      <c r="C10" s="77"/>
      <c r="D10" s="77"/>
      <c r="E10" s="109" t="str">
        <f aca="false">"or "&amp;TEXT($C$36,"0.0%")&amp;" more sales per month"</f>
        <v>or 2.5% more sales per month</v>
      </c>
      <c r="F10" s="114"/>
      <c r="G10" s="109" t="s">
        <v>394</v>
      </c>
      <c r="H10" s="114"/>
    </row>
    <row r="11" customFormat="false" ht="15" hidden="false" customHeight="true" outlineLevel="0" collapsed="false">
      <c r="A11" s="27" t="s">
        <v>351</v>
      </c>
      <c r="B11" s="3"/>
      <c r="C11" s="35" t="n">
        <f aca="false">-C5*Assumptions!$B$33</f>
        <v>-1488.96</v>
      </c>
      <c r="D11" s="3"/>
      <c r="E11" s="3"/>
      <c r="F11" s="3"/>
      <c r="G11" s="3"/>
      <c r="H11" s="3"/>
    </row>
    <row r="12" customFormat="false" ht="13.5" hidden="false" customHeight="true" outlineLevel="0" collapsed="false">
      <c r="A12" s="27" t="s">
        <v>395</v>
      </c>
      <c r="B12" s="3"/>
      <c r="C12" s="35" t="n">
        <f aca="false">-C5*Assumptions!$B$36</f>
        <v>-2481.6</v>
      </c>
      <c r="D12" s="3"/>
      <c r="E12" s="106" t="s">
        <v>396</v>
      </c>
      <c r="F12" s="112"/>
      <c r="G12" s="106" t="s">
        <v>397</v>
      </c>
      <c r="H12" s="112"/>
    </row>
    <row r="13" customFormat="false" ht="21.75" hidden="false" customHeight="true" outlineLevel="0" collapsed="false">
      <c r="A13" s="27" t="s">
        <v>357</v>
      </c>
      <c r="B13" s="3"/>
      <c r="C13" s="35" t="n">
        <f aca="false">-C5*Assumptions!$B$37</f>
        <v>-661.76</v>
      </c>
      <c r="D13" s="3"/>
      <c r="E13" s="113" t="n">
        <f aca="false">$C$17</f>
        <v>0.524</v>
      </c>
      <c r="F13" s="113"/>
      <c r="G13" s="108" t="n">
        <f aca="false">$C$27</f>
        <v>-1104.72</v>
      </c>
      <c r="H13" s="108"/>
    </row>
    <row r="14" customFormat="false" ht="13.5" hidden="false" customHeight="true" outlineLevel="0" collapsed="false">
      <c r="A14" s="27" t="s">
        <v>398</v>
      </c>
      <c r="B14" s="3"/>
      <c r="C14" s="97" t="n">
        <f aca="false">SUM(C11:C13)</f>
        <v>-4632.32</v>
      </c>
      <c r="D14" s="3"/>
      <c r="E14" s="109" t="s">
        <v>399</v>
      </c>
      <c r="F14" s="110"/>
      <c r="G14" s="109" t="s">
        <v>400</v>
      </c>
      <c r="H14" s="110"/>
    </row>
    <row r="15" customFormat="false" ht="15" hidden="false" customHeight="true" outlineLevel="0" collapsed="false">
      <c r="A15" s="27" t="s">
        <v>401</v>
      </c>
      <c r="B15" s="3"/>
      <c r="C15" s="93" t="n">
        <f aca="false">IFERROR(-C14/C5,0)</f>
        <v>0.056</v>
      </c>
      <c r="D15" s="3"/>
      <c r="E15" s="3"/>
      <c r="F15" s="3"/>
      <c r="G15" s="3"/>
      <c r="H15" s="3"/>
    </row>
    <row r="16" customFormat="false" ht="16.5" hidden="false" customHeight="true" outlineLevel="0" collapsed="false">
      <c r="A16" s="65" t="s">
        <v>359</v>
      </c>
      <c r="B16" s="3"/>
      <c r="C16" s="111" t="n">
        <f aca="false">C7+C14</f>
        <v>43345.28</v>
      </c>
      <c r="D16" s="3"/>
      <c r="E16" s="3"/>
      <c r="F16" s="3"/>
      <c r="G16" s="3"/>
      <c r="H16" s="3"/>
    </row>
    <row r="17" customFormat="false" ht="15" hidden="false" customHeight="true" outlineLevel="0" collapsed="false">
      <c r="A17" s="27" t="s">
        <v>360</v>
      </c>
      <c r="B17" s="3"/>
      <c r="C17" s="93" t="n">
        <f aca="false">IFERROR(C16/C5,0)</f>
        <v>0.524</v>
      </c>
      <c r="D17" s="23" t="s">
        <v>402</v>
      </c>
      <c r="E17" s="3"/>
      <c r="F17" s="3"/>
      <c r="G17" s="3"/>
      <c r="H17" s="3"/>
    </row>
    <row r="18" customFormat="false" ht="6" hidden="false" customHeight="true" outlineLevel="0" collapsed="false">
      <c r="A18" s="3"/>
      <c r="B18" s="3"/>
      <c r="C18" s="3"/>
      <c r="D18" s="3"/>
      <c r="E18" s="3"/>
      <c r="F18" s="3"/>
      <c r="G18" s="3"/>
      <c r="H18" s="3"/>
    </row>
    <row r="19" customFormat="false" ht="18" hidden="false" customHeight="true" outlineLevel="0" collapsed="false">
      <c r="A19" s="77" t="s">
        <v>403</v>
      </c>
      <c r="B19" s="77"/>
      <c r="C19" s="77"/>
      <c r="D19" s="77"/>
      <c r="E19" s="115"/>
      <c r="F19" s="115"/>
      <c r="G19" s="115"/>
      <c r="H19" s="115"/>
    </row>
    <row r="20" customFormat="false" ht="15" hidden="false" customHeight="true" outlineLevel="0" collapsed="false">
      <c r="A20" s="27" t="s">
        <v>269</v>
      </c>
      <c r="B20" s="3"/>
      <c r="C20" s="86" t="n">
        <f aca="false">-Assumptions!$B$45</f>
        <v>-22000</v>
      </c>
      <c r="D20" s="3"/>
      <c r="E20" s="3"/>
      <c r="F20" s="3"/>
      <c r="G20" s="3"/>
      <c r="H20" s="3"/>
    </row>
    <row r="21" customFormat="false" ht="15" hidden="false" customHeight="true" outlineLevel="0" collapsed="false">
      <c r="A21" s="27" t="s">
        <v>404</v>
      </c>
      <c r="B21" s="3"/>
      <c r="C21" s="86" t="n">
        <f aca="false">-Assumptions!$B$46</f>
        <v>-18500</v>
      </c>
      <c r="D21" s="3"/>
      <c r="E21" s="3"/>
      <c r="F21" s="3"/>
      <c r="G21" s="3"/>
      <c r="H21" s="3"/>
    </row>
    <row r="22" customFormat="false" ht="15" hidden="false" customHeight="true" outlineLevel="0" collapsed="false">
      <c r="A22" s="27" t="s">
        <v>280</v>
      </c>
      <c r="B22" s="3"/>
      <c r="C22" s="86" t="n">
        <f aca="false">-Assumptions!$B$47</f>
        <v>-2600</v>
      </c>
      <c r="D22" s="3"/>
      <c r="E22" s="3"/>
      <c r="F22" s="3"/>
      <c r="G22" s="3"/>
      <c r="H22" s="3"/>
    </row>
    <row r="23" customFormat="false" ht="15" hidden="false" customHeight="true" outlineLevel="0" collapsed="false">
      <c r="A23" s="27" t="s">
        <v>405</v>
      </c>
      <c r="B23" s="3"/>
      <c r="C23" s="86" t="n">
        <f aca="false">-Assumptions!$B$48</f>
        <v>-450</v>
      </c>
      <c r="D23" s="3"/>
      <c r="E23" s="3"/>
      <c r="F23" s="3"/>
      <c r="G23" s="3"/>
      <c r="H23" s="3"/>
    </row>
    <row r="24" customFormat="false" ht="15" hidden="false" customHeight="true" outlineLevel="0" collapsed="false">
      <c r="A24" s="27" t="s">
        <v>406</v>
      </c>
      <c r="B24" s="3"/>
      <c r="C24" s="86" t="n">
        <f aca="false">-Assumptions!$B$49</f>
        <v>-900</v>
      </c>
      <c r="D24" s="3"/>
      <c r="E24" s="3"/>
      <c r="F24" s="3"/>
      <c r="G24" s="3"/>
      <c r="H24" s="3"/>
    </row>
    <row r="25" customFormat="false" ht="16.5" hidden="false" customHeight="true" outlineLevel="0" collapsed="false">
      <c r="A25" s="65" t="s">
        <v>407</v>
      </c>
      <c r="B25" s="3"/>
      <c r="C25" s="111" t="n">
        <f aca="false">SUM(C20:C24)</f>
        <v>-44450</v>
      </c>
      <c r="D25" s="3"/>
      <c r="E25" s="3"/>
      <c r="F25" s="3"/>
      <c r="G25" s="3"/>
      <c r="H25" s="3"/>
    </row>
    <row r="26" customFormat="false" ht="6" hidden="false" customHeight="true" outlineLevel="0" collapsed="false">
      <c r="A26" s="3"/>
      <c r="B26" s="3"/>
      <c r="C26" s="3"/>
      <c r="D26" s="3"/>
      <c r="E26" s="3"/>
      <c r="F26" s="3"/>
      <c r="G26" s="3"/>
      <c r="H26" s="3"/>
    </row>
    <row r="27" customFormat="false" ht="16.5" hidden="false" customHeight="true" outlineLevel="0" collapsed="false">
      <c r="A27" s="65" t="s">
        <v>408</v>
      </c>
      <c r="B27" s="3"/>
      <c r="C27" s="116" t="n">
        <f aca="false">C16+C25</f>
        <v>-1104.72</v>
      </c>
      <c r="D27" s="3"/>
      <c r="E27" s="3"/>
      <c r="F27" s="3"/>
      <c r="G27" s="3"/>
      <c r="H27" s="3"/>
    </row>
    <row r="28" customFormat="false" ht="15" hidden="false" customHeight="true" outlineLevel="0" collapsed="false">
      <c r="A28" s="27" t="s">
        <v>409</v>
      </c>
      <c r="B28" s="3"/>
      <c r="C28" s="35" t="n">
        <f aca="false">C27*12</f>
        <v>-13256.64</v>
      </c>
      <c r="D28" s="3"/>
      <c r="E28" s="3"/>
      <c r="F28" s="3"/>
      <c r="G28" s="3"/>
      <c r="H28" s="3"/>
    </row>
    <row r="29" customFormat="false" ht="6" hidden="false" customHeight="true" outlineLevel="0" collapsed="false">
      <c r="A29" s="3"/>
      <c r="B29" s="3"/>
      <c r="C29" s="3"/>
      <c r="D29" s="3"/>
      <c r="E29" s="3"/>
      <c r="F29" s="3"/>
      <c r="G29" s="3"/>
      <c r="H29" s="3"/>
    </row>
    <row r="30" customFormat="false" ht="18" hidden="false" customHeight="true" outlineLevel="0" collapsed="false">
      <c r="A30" s="14" t="s">
        <v>410</v>
      </c>
      <c r="B30" s="14"/>
      <c r="C30" s="14"/>
      <c r="D30" s="14"/>
      <c r="E30" s="117"/>
      <c r="F30" s="117"/>
      <c r="G30" s="117"/>
      <c r="H30" s="117"/>
    </row>
    <row r="31" customFormat="false" ht="16.5" hidden="false" customHeight="true" outlineLevel="0" collapsed="false">
      <c r="A31" s="65" t="s">
        <v>411</v>
      </c>
      <c r="B31" s="3"/>
      <c r="C31" s="118" t="n">
        <f aca="false">IFERROR(-C25/C17,0)</f>
        <v>84828.2442748092</v>
      </c>
      <c r="D31" s="3"/>
      <c r="E31" s="3"/>
      <c r="F31" s="3"/>
      <c r="G31" s="3"/>
      <c r="H31" s="3"/>
    </row>
    <row r="32" customFormat="false" ht="15" hidden="false" customHeight="true" outlineLevel="0" collapsed="false">
      <c r="A32" s="27" t="s">
        <v>412</v>
      </c>
      <c r="B32" s="3"/>
      <c r="C32" s="35" t="n">
        <f aca="false">C31/Assumptions!$B$9</f>
        <v>19575.7486788021</v>
      </c>
      <c r="D32" s="3"/>
      <c r="E32" s="3"/>
      <c r="F32" s="3"/>
      <c r="G32" s="3"/>
      <c r="H32" s="3"/>
    </row>
    <row r="33" customFormat="false" ht="15" hidden="false" customHeight="true" outlineLevel="0" collapsed="false">
      <c r="A33" s="27" t="s">
        <v>413</v>
      </c>
      <c r="B33" s="3"/>
      <c r="C33" s="35" t="n">
        <f aca="false">C5</f>
        <v>82720</v>
      </c>
      <c r="D33" s="3"/>
      <c r="E33" s="3"/>
      <c r="F33" s="3"/>
      <c r="G33" s="3"/>
      <c r="H33" s="3"/>
    </row>
    <row r="34" customFormat="false" ht="16.5" hidden="false" customHeight="true" outlineLevel="0" collapsed="false">
      <c r="A34" s="65" t="s">
        <v>414</v>
      </c>
      <c r="B34" s="3"/>
      <c r="C34" s="119" t="n">
        <f aca="false">C33-C31</f>
        <v>-2108.24427480916</v>
      </c>
      <c r="D34" s="3"/>
      <c r="E34" s="3"/>
      <c r="F34" s="3"/>
      <c r="G34" s="3"/>
      <c r="H34" s="3"/>
    </row>
    <row r="35" customFormat="false" ht="15" hidden="false" customHeight="true" outlineLevel="0" collapsed="false">
      <c r="A35" s="27" t="s">
        <v>415</v>
      </c>
      <c r="B35" s="3"/>
      <c r="C35" s="93" t="n">
        <f aca="false">IFERROR(C34/C33,0)</f>
        <v>-0.0254865120262229</v>
      </c>
      <c r="D35" s="23" t="s">
        <v>416</v>
      </c>
      <c r="E35" s="3"/>
      <c r="F35" s="3"/>
      <c r="G35" s="3"/>
      <c r="H35" s="3"/>
    </row>
    <row r="36" customFormat="false" ht="16.5" hidden="false" customHeight="true" outlineLevel="0" collapsed="false">
      <c r="A36" s="65" t="s">
        <v>417</v>
      </c>
      <c r="B36" s="3"/>
      <c r="C36" s="120" t="n">
        <f aca="false">IFERROR(C31/C33-1,0)</f>
        <v>0.0254865120262229</v>
      </c>
      <c r="D36" s="3"/>
      <c r="E36" s="3"/>
      <c r="F36" s="3"/>
      <c r="G36" s="3"/>
      <c r="H36" s="3"/>
    </row>
    <row r="37" customFormat="false" ht="15" hidden="false" customHeight="true" outlineLevel="0" collapsed="false">
      <c r="A37" s="27" t="s">
        <v>418</v>
      </c>
      <c r="B37" s="3"/>
      <c r="C37" s="35" t="n">
        <f aca="false">C31-C33</f>
        <v>2108.24427480916</v>
      </c>
      <c r="D37" s="3"/>
      <c r="E37" s="3"/>
      <c r="F37" s="3"/>
      <c r="G37" s="3"/>
      <c r="H37" s="3"/>
    </row>
    <row r="38" customFormat="false" ht="15" hidden="false" customHeight="true" outlineLevel="0" collapsed="false">
      <c r="A38" s="27" t="s">
        <v>419</v>
      </c>
      <c r="B38" s="3"/>
      <c r="C38" s="93" t="n">
        <f aca="false">IFERROR(-C25/C5-C17,0)</f>
        <v>0.0133549323017408</v>
      </c>
      <c r="D38" s="23" t="s">
        <v>420</v>
      </c>
      <c r="E38" s="3"/>
      <c r="F38" s="3"/>
      <c r="G38" s="3"/>
      <c r="H38" s="3"/>
    </row>
    <row r="39" customFormat="false" ht="15" hidden="false" customHeight="true" outlineLevel="0" collapsed="false">
      <c r="A39" s="27" t="s">
        <v>421</v>
      </c>
      <c r="B39" s="3"/>
      <c r="C39" s="35" t="n">
        <f aca="false">IF(C27&lt;0,-C27,0)</f>
        <v>1104.72</v>
      </c>
      <c r="D39" s="23" t="s">
        <v>422</v>
      </c>
      <c r="E39" s="3"/>
      <c r="F39" s="3"/>
      <c r="G39" s="3"/>
      <c r="H39" s="3"/>
    </row>
    <row r="40" customFormat="false" ht="15" hidden="false" customHeight="true" outlineLevel="0" collapsed="false">
      <c r="A40" s="27" t="s">
        <v>423</v>
      </c>
      <c r="B40" s="3"/>
      <c r="C40" s="93" t="n">
        <f aca="false">IFERROR(C39/-C20,0)</f>
        <v>0.0502145454545455</v>
      </c>
      <c r="D40" s="3"/>
      <c r="E40" s="3"/>
      <c r="F40" s="3"/>
      <c r="G40" s="3"/>
      <c r="H40" s="3"/>
    </row>
    <row r="41" customFormat="false" ht="6" hidden="false" customHeight="true" outlineLevel="0" collapsed="false">
      <c r="A41" s="3"/>
      <c r="B41" s="3"/>
      <c r="C41" s="3"/>
      <c r="D41" s="3"/>
      <c r="E41" s="3"/>
      <c r="F41" s="3"/>
      <c r="G41" s="3"/>
      <c r="H41" s="3"/>
    </row>
    <row r="42" customFormat="false" ht="18" hidden="false" customHeight="true" outlineLevel="0" collapsed="false">
      <c r="A42" s="14" t="s">
        <v>424</v>
      </c>
      <c r="B42" s="14"/>
      <c r="C42" s="14"/>
      <c r="D42" s="14"/>
      <c r="E42" s="115"/>
      <c r="F42" s="115"/>
      <c r="G42" s="115"/>
      <c r="H42" s="115"/>
    </row>
    <row r="43" customFormat="false" ht="15" hidden="false" customHeight="true" outlineLevel="0" collapsed="false">
      <c r="A43" s="27" t="s">
        <v>425</v>
      </c>
      <c r="B43" s="3"/>
      <c r="C43" s="86" t="n">
        <f aca="false">'13W Cash Flow'!$P$72</f>
        <v>249592.56</v>
      </c>
      <c r="D43" s="3"/>
      <c r="E43" s="3"/>
      <c r="F43" s="3"/>
      <c r="G43" s="3"/>
      <c r="H43" s="3"/>
    </row>
    <row r="44" customFormat="false" ht="15" hidden="false" customHeight="true" outlineLevel="0" collapsed="false">
      <c r="A44" s="27" t="s">
        <v>426</v>
      </c>
      <c r="B44" s="3"/>
      <c r="C44" s="35" t="n">
        <f aca="false">C43/13*Assumptions!$B$9</f>
        <v>83197.5199999999</v>
      </c>
      <c r="D44" s="3"/>
      <c r="E44" s="3"/>
      <c r="F44" s="3"/>
      <c r="G44" s="3"/>
      <c r="H44" s="3"/>
    </row>
    <row r="45" customFormat="false" ht="15" hidden="false" customHeight="true" outlineLevel="0" collapsed="false">
      <c r="A45" s="27" t="s">
        <v>427</v>
      </c>
      <c r="B45" s="3"/>
      <c r="C45" s="93" t="n">
        <f aca="false">IFERROR(C44/C31-1,0)</f>
        <v>-0.0192238362204732</v>
      </c>
      <c r="D45" s="23" t="s">
        <v>428</v>
      </c>
      <c r="E45" s="3"/>
      <c r="F45" s="3"/>
      <c r="G45" s="3"/>
      <c r="H45" s="3"/>
    </row>
    <row r="46" customFormat="false" ht="6" hidden="false" customHeight="true" outlineLevel="0" collapsed="false">
      <c r="A46" s="3"/>
      <c r="B46" s="3"/>
      <c r="C46" s="3"/>
      <c r="D46" s="3"/>
      <c r="E46" s="3"/>
      <c r="F46" s="3"/>
      <c r="G46" s="3"/>
      <c r="H46" s="3"/>
    </row>
    <row r="47" customFormat="false" ht="18" hidden="false" customHeight="true" outlineLevel="0" collapsed="false">
      <c r="A47" s="14" t="s">
        <v>429</v>
      </c>
      <c r="B47" s="14"/>
      <c r="C47" s="14"/>
      <c r="D47" s="14"/>
      <c r="E47" s="14"/>
      <c r="F47" s="14"/>
      <c r="G47" s="14"/>
      <c r="H47" s="14"/>
    </row>
    <row r="48" customFormat="false" ht="15" hidden="false" customHeight="true" outlineLevel="0" collapsed="false">
      <c r="A48" s="46" t="s">
        <v>430</v>
      </c>
      <c r="B48" s="121" t="n">
        <v>0.03</v>
      </c>
      <c r="C48" s="3"/>
      <c r="D48" s="3"/>
      <c r="E48" s="3"/>
      <c r="F48" s="3"/>
      <c r="G48" s="3"/>
      <c r="H48" s="3"/>
    </row>
    <row r="49" customFormat="false" ht="25.5" hidden="false" customHeight="true" outlineLevel="0" collapsed="false">
      <c r="A49" s="122" t="s">
        <v>431</v>
      </c>
      <c r="B49" s="123" t="s">
        <v>349</v>
      </c>
      <c r="C49" s="124" t="n">
        <v>-0.2</v>
      </c>
      <c r="D49" s="124" t="n">
        <v>-0.1</v>
      </c>
      <c r="E49" s="124" t="n">
        <v>0</v>
      </c>
      <c r="F49" s="124" t="n">
        <v>0.1</v>
      </c>
      <c r="G49" s="124" t="n">
        <v>0.2</v>
      </c>
      <c r="H49" s="123"/>
    </row>
    <row r="50" customFormat="false" ht="15.75" hidden="false" customHeight="true" outlineLevel="0" collapsed="false">
      <c r="A50" s="27" t="s">
        <v>432</v>
      </c>
      <c r="B50" s="125" t="n">
        <f aca="false">$C$8-$B$48</f>
        <v>0.55</v>
      </c>
      <c r="C50" s="97" t="n">
        <f aca="false">$C$5*(1+C$49)*($B50-$C$15)+$C$25</f>
        <v>-11759.056</v>
      </c>
      <c r="D50" s="97" t="n">
        <f aca="false">$C$5*(1+D$49)*($B50-$C$15)+$C$25</f>
        <v>-7672.688</v>
      </c>
      <c r="E50" s="97" t="n">
        <f aca="false">$C$5*(1+E$49)*($B50-$C$15)+$C$25</f>
        <v>-3586.32000000001</v>
      </c>
      <c r="F50" s="97" t="n">
        <f aca="false">$C$5*(1+F$49)*($B50-$C$15)+$C$25</f>
        <v>500.048000000003</v>
      </c>
      <c r="G50" s="97" t="n">
        <f aca="false">$C$5*(1+G$49)*($B50-$C$15)+$C$25</f>
        <v>4586.416</v>
      </c>
      <c r="H50" s="3"/>
    </row>
    <row r="51" customFormat="false" ht="15.75" hidden="false" customHeight="true" outlineLevel="0" collapsed="false">
      <c r="A51" s="15" t="s">
        <v>433</v>
      </c>
      <c r="B51" s="125" t="n">
        <f aca="false">$C$8</f>
        <v>0.58</v>
      </c>
      <c r="C51" s="35" t="n">
        <f aca="false">$C$5*(1+C$49)*($B51-$C$15)+$C$25</f>
        <v>-9773.776</v>
      </c>
      <c r="D51" s="35" t="n">
        <f aca="false">$C$5*(1+D$49)*($B51-$C$15)+$C$25</f>
        <v>-5439.248</v>
      </c>
      <c r="E51" s="35" t="n">
        <f aca="false">$C$5*(1+E$49)*($B51-$C$15)+$C$25</f>
        <v>-1104.72</v>
      </c>
      <c r="F51" s="35" t="n">
        <f aca="false">$C$5*(1+F$49)*($B51-$C$15)+$C$25</f>
        <v>3229.80800000001</v>
      </c>
      <c r="G51" s="35" t="n">
        <f aca="false">$C$5*(1+G$49)*($B51-$C$15)+$C$25</f>
        <v>7564.336</v>
      </c>
      <c r="H51" s="3"/>
    </row>
    <row r="52" customFormat="false" ht="15.75" hidden="false" customHeight="true" outlineLevel="0" collapsed="false">
      <c r="A52" s="27" t="s">
        <v>434</v>
      </c>
      <c r="B52" s="125" t="n">
        <f aca="false">$C$8+$B$48</f>
        <v>0.61</v>
      </c>
      <c r="C52" s="35" t="n">
        <f aca="false">$C$5*(1+C$49)*($B52-$C$15)+$C$25</f>
        <v>-7788.496</v>
      </c>
      <c r="D52" s="35" t="n">
        <f aca="false">$C$5*(1+D$49)*($B52-$C$15)+$C$25</f>
        <v>-3205.808</v>
      </c>
      <c r="E52" s="35" t="n">
        <f aca="false">$C$5*(1+E$49)*($B52-$C$15)+$C$25</f>
        <v>1376.88</v>
      </c>
      <c r="F52" s="35" t="n">
        <f aca="false">$C$5*(1+F$49)*($B52-$C$15)+$C$25</f>
        <v>5959.56800000001</v>
      </c>
      <c r="G52" s="35" t="n">
        <f aca="false">$C$5*(1+G$49)*($B52-$C$15)+$C$25</f>
        <v>10542.256</v>
      </c>
      <c r="H52" s="3"/>
    </row>
    <row r="53" customFormat="false" ht="15" hidden="false" customHeight="true" outlineLevel="0" collapsed="false">
      <c r="A53" s="46" t="s">
        <v>435</v>
      </c>
      <c r="B53" s="3"/>
      <c r="C53" s="3"/>
      <c r="D53" s="3"/>
      <c r="E53" s="3"/>
      <c r="F53" s="3"/>
      <c r="G53" s="3"/>
      <c r="H53" s="3"/>
    </row>
    <row r="54" customFormat="false" ht="6" hidden="false" customHeight="true" outlineLevel="0" collapsed="false">
      <c r="A54" s="3"/>
      <c r="B54" s="3"/>
      <c r="C54" s="3"/>
      <c r="D54" s="3"/>
      <c r="E54" s="3"/>
      <c r="F54" s="3"/>
      <c r="G54" s="3"/>
      <c r="H54" s="3"/>
    </row>
    <row r="55" customFormat="false" ht="18" hidden="false" customHeight="true" outlineLevel="0" collapsed="false">
      <c r="A55" s="14" t="s">
        <v>436</v>
      </c>
      <c r="B55" s="14"/>
      <c r="C55" s="14"/>
      <c r="D55" s="14"/>
      <c r="E55" s="14"/>
      <c r="F55" s="14"/>
      <c r="G55" s="14"/>
      <c r="H55" s="14"/>
    </row>
    <row r="56" customFormat="false" ht="25.5" hidden="false" customHeight="true" outlineLevel="0" collapsed="false">
      <c r="A56" s="122" t="s">
        <v>431</v>
      </c>
      <c r="B56" s="123" t="s">
        <v>349</v>
      </c>
      <c r="C56" s="126" t="n">
        <v>-0.2</v>
      </c>
      <c r="D56" s="126" t="n">
        <v>-0.15</v>
      </c>
      <c r="E56" s="126" t="n">
        <v>-0.1</v>
      </c>
      <c r="F56" s="126" t="n">
        <v>-0.05</v>
      </c>
      <c r="G56" s="126" t="n">
        <v>0</v>
      </c>
      <c r="H56" s="123"/>
    </row>
    <row r="57" customFormat="false" ht="15.75" hidden="false" customHeight="true" outlineLevel="0" collapsed="false">
      <c r="A57" s="27" t="s">
        <v>432</v>
      </c>
      <c r="B57" s="125" t="n">
        <f aca="false">$C$8-$B$48</f>
        <v>0.55</v>
      </c>
      <c r="C57" s="97" t="n">
        <f aca="false">IFERROR(-($C$25+$C$20*C$56)/($B57-$C$15),0)</f>
        <v>81072.8744939271</v>
      </c>
      <c r="D57" s="97" t="n">
        <f aca="false">IFERROR(-($C$25+$C$20*D$56)/($B57-$C$15),0)</f>
        <v>83299.5951417004</v>
      </c>
      <c r="E57" s="97" t="n">
        <f aca="false">IFERROR(-($C$25+$C$20*E$56)/($B57-$C$15),0)</f>
        <v>85526.3157894737</v>
      </c>
      <c r="F57" s="97" t="n">
        <f aca="false">IFERROR(-($C$25+$C$20*F$56)/($B57-$C$15),0)</f>
        <v>87753.036437247</v>
      </c>
      <c r="G57" s="97" t="n">
        <f aca="false">IFERROR(-($C$25+$C$20*G$56)/($B57-$C$15),0)</f>
        <v>89979.7570850203</v>
      </c>
      <c r="H57" s="3"/>
    </row>
    <row r="58" customFormat="false" ht="15.75" hidden="false" customHeight="true" outlineLevel="0" collapsed="false">
      <c r="A58" s="15" t="s">
        <v>433</v>
      </c>
      <c r="B58" s="125" t="n">
        <f aca="false">$C$8</f>
        <v>0.58</v>
      </c>
      <c r="C58" s="35" t="n">
        <f aca="false">IFERROR(-($C$25+$C$20*C$56)/($B58-$C$15),0)</f>
        <v>76431.2977099237</v>
      </c>
      <c r="D58" s="35" t="n">
        <f aca="false">IFERROR(-($C$25+$C$20*D$56)/($B58-$C$15),0)</f>
        <v>78530.534351145</v>
      </c>
      <c r="E58" s="35" t="n">
        <f aca="false">IFERROR(-($C$25+$C$20*E$56)/($B58-$C$15),0)</f>
        <v>80629.7709923664</v>
      </c>
      <c r="F58" s="35" t="n">
        <f aca="false">IFERROR(-($C$25+$C$20*F$56)/($B58-$C$15),0)</f>
        <v>82729.0076335878</v>
      </c>
      <c r="G58" s="35" t="n">
        <f aca="false">IFERROR(-($C$25+$C$20*G$56)/($B58-$C$15),0)</f>
        <v>84828.2442748092</v>
      </c>
      <c r="H58" s="3"/>
    </row>
    <row r="59" customFormat="false" ht="15.75" hidden="false" customHeight="true" outlineLevel="0" collapsed="false">
      <c r="A59" s="27" t="s">
        <v>434</v>
      </c>
      <c r="B59" s="125" t="n">
        <f aca="false">$C$8+$B$48</f>
        <v>0.61</v>
      </c>
      <c r="C59" s="35" t="n">
        <f aca="false">IFERROR(-($C$25+$C$20*C$56)/($B59-$C$15),0)</f>
        <v>72292.4187725632</v>
      </c>
      <c r="D59" s="35" t="n">
        <f aca="false">IFERROR(-($C$25+$C$20*D$56)/($B59-$C$15),0)</f>
        <v>74277.9783393502</v>
      </c>
      <c r="E59" s="35" t="n">
        <f aca="false">IFERROR(-($C$25+$C$20*E$56)/($B59-$C$15),0)</f>
        <v>76263.5379061372</v>
      </c>
      <c r="F59" s="35" t="n">
        <f aca="false">IFERROR(-($C$25+$C$20*F$56)/($B59-$C$15),0)</f>
        <v>78249.0974729242</v>
      </c>
      <c r="G59" s="35" t="n">
        <f aca="false">IFERROR(-($C$25+$C$20*G$56)/($B59-$C$15),0)</f>
        <v>80234.6570397112</v>
      </c>
      <c r="H59" s="3"/>
    </row>
    <row r="60" customFormat="false" ht="15" hidden="false" customHeight="true" outlineLevel="0" collapsed="false">
      <c r="A60" s="46" t="s">
        <v>437</v>
      </c>
      <c r="B60" s="3"/>
      <c r="C60" s="3"/>
      <c r="D60" s="3"/>
      <c r="E60" s="3"/>
      <c r="F60" s="3"/>
      <c r="G60" s="3"/>
      <c r="H60" s="3"/>
    </row>
    <row r="61" customFormat="false" ht="6" hidden="false" customHeight="true" outlineLevel="0" collapsed="false">
      <c r="A61" s="3"/>
      <c r="B61" s="3"/>
      <c r="C61" s="3"/>
      <c r="D61" s="3"/>
      <c r="E61" s="3"/>
      <c r="F61" s="3"/>
      <c r="G61" s="3"/>
      <c r="H61" s="3"/>
    </row>
    <row r="62" customFormat="false" ht="18" hidden="false" customHeight="true" outlineLevel="0" collapsed="false">
      <c r="A62" s="14" t="s">
        <v>438</v>
      </c>
      <c r="B62" s="14"/>
      <c r="C62" s="14"/>
      <c r="D62" s="14"/>
      <c r="E62" s="14"/>
      <c r="F62" s="14"/>
      <c r="G62" s="14"/>
      <c r="H62" s="14"/>
    </row>
    <row r="63" customFormat="false" ht="15" hidden="false" customHeight="true" outlineLevel="0" collapsed="false">
      <c r="A63" s="46" t="s">
        <v>439</v>
      </c>
      <c r="B63" s="121" t="n">
        <v>0.1</v>
      </c>
      <c r="C63" s="3"/>
      <c r="D63" s="3"/>
      <c r="E63" s="3"/>
      <c r="F63" s="3"/>
      <c r="G63" s="3"/>
      <c r="H63" s="3"/>
    </row>
    <row r="64" customFormat="false" ht="25.5" hidden="false" customHeight="true" outlineLevel="0" collapsed="false">
      <c r="A64" s="122" t="s">
        <v>196</v>
      </c>
      <c r="B64" s="122"/>
      <c r="C64" s="123" t="s">
        <v>440</v>
      </c>
      <c r="D64" s="123" t="s">
        <v>433</v>
      </c>
      <c r="E64" s="123" t="s">
        <v>441</v>
      </c>
      <c r="F64" s="123" t="s">
        <v>442</v>
      </c>
      <c r="G64" s="123"/>
      <c r="H64" s="123"/>
    </row>
    <row r="65" customFormat="false" ht="15.75" hidden="false" customHeight="true" outlineLevel="0" collapsed="false">
      <c r="A65" s="27" t="s">
        <v>388</v>
      </c>
      <c r="B65" s="3"/>
      <c r="C65" s="35" t="n">
        <f aca="false">$C$5*(1-$B$63)*($C$8-$C$15)+$C$25</f>
        <v>-5439.248</v>
      </c>
      <c r="D65" s="63" t="n">
        <f aca="false">$C$27</f>
        <v>-1104.72</v>
      </c>
      <c r="E65" s="35" t="n">
        <f aca="false">$C$5*(1+$B$63)*($C$8-$C$15)+$C$25</f>
        <v>3229.80800000001</v>
      </c>
      <c r="F65" s="66" t="n">
        <f aca="false">E65-C65</f>
        <v>8669.05600000001</v>
      </c>
      <c r="G65" s="3"/>
      <c r="H65" s="3"/>
    </row>
    <row r="66" customFormat="false" ht="15.75" hidden="false" customHeight="true" outlineLevel="0" collapsed="false">
      <c r="A66" s="27" t="s">
        <v>349</v>
      </c>
      <c r="B66" s="3"/>
      <c r="C66" s="35" t="n">
        <f aca="false">$C$5*($C$8*(1-$B$63)-$C$15)+$C$25</f>
        <v>-5902.48</v>
      </c>
      <c r="D66" s="63" t="n">
        <f aca="false">$C$27</f>
        <v>-1104.72</v>
      </c>
      <c r="E66" s="35" t="n">
        <f aca="false">$C$5*($C$8*(1+$B$63)-$C$15)+$C$25</f>
        <v>3693.04000000001</v>
      </c>
      <c r="F66" s="66" t="n">
        <f aca="false">E66-C66</f>
        <v>9595.52</v>
      </c>
      <c r="G66" s="3"/>
      <c r="H66" s="3"/>
    </row>
    <row r="67" customFormat="false" ht="15.75" hidden="false" customHeight="true" outlineLevel="0" collapsed="false">
      <c r="A67" s="27" t="s">
        <v>269</v>
      </c>
      <c r="B67" s="3"/>
      <c r="C67" s="35" t="n">
        <f aca="false">$C$27+$C$20*$B$63</f>
        <v>-3304.72</v>
      </c>
      <c r="D67" s="63" t="n">
        <f aca="false">$C$27</f>
        <v>-1104.72</v>
      </c>
      <c r="E67" s="35" t="n">
        <f aca="false">$C$27-$C$20*$B$63</f>
        <v>1095.28</v>
      </c>
      <c r="F67" s="66" t="n">
        <f aca="false">E67-C67</f>
        <v>4400</v>
      </c>
      <c r="G67" s="3"/>
      <c r="H67" s="3"/>
    </row>
    <row r="68" customFormat="false" ht="15.75" hidden="false" customHeight="true" outlineLevel="0" collapsed="false">
      <c r="A68" s="27" t="s">
        <v>404</v>
      </c>
      <c r="B68" s="3"/>
      <c r="C68" s="35" t="n">
        <f aca="false">$C$27+$C$21*$B$63</f>
        <v>-2954.72</v>
      </c>
      <c r="D68" s="63" t="n">
        <f aca="false">$C$27</f>
        <v>-1104.72</v>
      </c>
      <c r="E68" s="35" t="n">
        <f aca="false">$C$27-$C$21*$B$63</f>
        <v>745.279999999999</v>
      </c>
      <c r="F68" s="66" t="n">
        <f aca="false">E68-C68</f>
        <v>3700</v>
      </c>
      <c r="G68" s="3"/>
      <c r="H68" s="3"/>
    </row>
    <row r="69" customFormat="false" ht="15.75" hidden="false" customHeight="true" outlineLevel="0" collapsed="false">
      <c r="A69" s="27" t="s">
        <v>443</v>
      </c>
      <c r="B69" s="3"/>
      <c r="C69" s="35" t="n">
        <f aca="false">$C$5*($C$8-$C$15*(1+$B$63))+$C$25</f>
        <v>-1567.952</v>
      </c>
      <c r="D69" s="63" t="n">
        <f aca="false">$C$27</f>
        <v>-1104.72</v>
      </c>
      <c r="E69" s="35" t="n">
        <f aca="false">$C$5*($C$8-$C$15*(1-$B$63))+$C$25</f>
        <v>-641.488000000005</v>
      </c>
      <c r="F69" s="66" t="n">
        <f aca="false">E69-C69</f>
        <v>926.464</v>
      </c>
      <c r="G69" s="3"/>
      <c r="H69" s="3"/>
    </row>
    <row r="70" customFormat="false" ht="6" hidden="false" customHeight="true" outlineLevel="0" collapsed="false">
      <c r="A70" s="3"/>
      <c r="B70" s="3"/>
      <c r="C70" s="3"/>
      <c r="D70" s="3"/>
      <c r="E70" s="3"/>
      <c r="F70" s="3"/>
      <c r="G70" s="3"/>
      <c r="H70" s="3"/>
    </row>
    <row r="71" customFormat="false" ht="30" hidden="false" customHeight="true" outlineLevel="0" collapsed="false">
      <c r="A71" s="105" t="s">
        <v>444</v>
      </c>
      <c r="B71" s="105"/>
      <c r="C71" s="105"/>
      <c r="D71" s="105"/>
      <c r="E71" s="105"/>
      <c r="F71" s="105"/>
      <c r="G71" s="105"/>
      <c r="H71" s="105"/>
    </row>
  </sheetData>
  <mergeCells count="7">
    <mergeCell ref="E5:F5"/>
    <mergeCell ref="G5:H5"/>
    <mergeCell ref="E9:F9"/>
    <mergeCell ref="G9:H9"/>
    <mergeCell ref="E13:F13"/>
    <mergeCell ref="G13:H13"/>
    <mergeCell ref="A71:H71"/>
  </mergeCells>
  <conditionalFormatting sqref="C50:G52">
    <cfRule type="cellIs" priority="2" operator="lessThan" aboveAverage="0" equalAverage="0" bottom="0" percent="0" rank="0" text="" dxfId="7">
      <formula>0</formula>
    </cfRule>
    <cfRule type="cellIs" priority="3" operator="lessThan" aboveAverage="0" equalAverage="0" bottom="0" percent="0" rank="0" text="" dxfId="8">
      <formula>3000</formula>
    </cfRule>
    <cfRule type="cellIs" priority="4" operator="greaterThanOrEqual" aboveAverage="0" equalAverage="0" bottom="0" percent="0" rank="0" text="" dxfId="9">
      <formula>3000</formula>
    </cfRule>
  </conditionalFormatting>
  <conditionalFormatting sqref="C57:G59">
    <cfRule type="expression" priority="5" aboveAverage="0" equalAverage="0" bottom="0" percent="0" rank="0" text="" dxfId="7">
      <formula>C57&gt;$C$33*1.05</formula>
    </cfRule>
    <cfRule type="expression" priority="6" aboveAverage="0" equalAverage="0" bottom="0" percent="0" rank="0" text="" dxfId="8">
      <formula>C57&gt;$C$33</formula>
    </cfRule>
    <cfRule type="expression" priority="7" aboveAverage="0" equalAverage="0" bottom="0" percent="0" rank="0" text="" dxfId="9">
      <formula>C57&lt;=$C$33</formula>
    </cfRule>
  </conditionalFormatting>
  <hyperlinks>
    <hyperlink ref="H2" location="'Dashboard'!A1" display="Back to Dashboard"/>
  </hyperlinks>
  <printOptions headings="false" gridLines="false" gridLinesSet="true" horizontalCentered="false" verticalCentered="false"/>
  <pageMargins left="0.35" right="0.35" top="0.45" bottom="0.45" header="0.511811023622047" footer="0.25"/>
  <pageSetup paperSize="9" scale="100" fitToWidth="1" fitToHeight="0"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rowBreaks count="1" manualBreakCount="1">
    <brk id="46" man="true" max="16383" min="0"/>
  </rowBreak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F4B"/>
    <pageSetUpPr fitToPage="true"/>
  </sheetPr>
  <dimension ref="A1:P17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15"/>
    <col collapsed="false" customWidth="true" hidden="false" outlineLevel="0" max="15" min="3" style="1" width="13.2"/>
    <col collapsed="false" customWidth="true" hidden="false" outlineLevel="0" max="16" min="16" style="1" width="14"/>
  </cols>
  <sheetData>
    <row r="1" customFormat="false" ht="22.5" hidden="false" customHeight="true" outlineLevel="0" collapsed="false">
      <c r="A1" s="2" t="s">
        <v>0</v>
      </c>
      <c r="B1" s="3"/>
      <c r="C1" s="3"/>
      <c r="D1" s="3"/>
      <c r="E1" s="3"/>
      <c r="F1" s="3"/>
      <c r="G1" s="3"/>
      <c r="H1" s="3"/>
      <c r="I1" s="3"/>
      <c r="J1" s="3"/>
      <c r="K1" s="3"/>
      <c r="L1" s="3"/>
      <c r="M1" s="3"/>
      <c r="N1" s="3"/>
      <c r="O1" s="3"/>
      <c r="P1" s="4" t="s">
        <v>1</v>
      </c>
    </row>
    <row r="2" customFormat="false" ht="16.5" hidden="false" customHeight="true" outlineLevel="0" collapsed="false">
      <c r="A2" s="5" t="s">
        <v>445</v>
      </c>
      <c r="B2" s="6"/>
      <c r="C2" s="6"/>
      <c r="D2" s="6"/>
      <c r="E2" s="6"/>
      <c r="F2" s="6"/>
      <c r="G2" s="6"/>
      <c r="H2" s="6"/>
      <c r="I2" s="6"/>
      <c r="J2" s="6"/>
      <c r="K2" s="6"/>
      <c r="L2" s="6"/>
      <c r="M2" s="6"/>
      <c r="N2" s="6"/>
      <c r="O2" s="6"/>
      <c r="P2" s="8" t="s">
        <v>61</v>
      </c>
    </row>
    <row r="3" customFormat="false" ht="21" hidden="false" customHeight="true" outlineLevel="0" collapsed="false">
      <c r="A3" s="127" t="str">
        <f aca="false">"Preferred scenario:  "&amp;INDEX($C$5:$E$5,MATCH(MAX($C$49:$E$49),$C$49:$E$49,0))&amp;"   ·   highest monthly run-rate operating profit at "&amp;TEXT(MAX($C$49:$E$49),"""S$""#,##0")&amp;", the strongest Week 13 cash position at "&amp;TEXT(INDEX($C$62:$E$62,MATCH(MAX($C$49:$E$49),$C$49:$E$49,0)),"""S$""#,##0")&amp;" and "&amp;INDEX($C$66:$E$66,MATCH(MAX($C$49:$E$49),$C$49:$E$49,0))&amp;" week(s) below the minimum cash buffer."</f>
        <v>Preferred scenario:  2. Store Improvement   ·   highest monthly run-rate operating profit at S$27,343, the strongest Week 13 cash position at S$163,302 and 0 week(s) below the minimum cash buffer.</v>
      </c>
      <c r="B3" s="127"/>
      <c r="C3" s="127"/>
      <c r="D3" s="127"/>
      <c r="E3" s="127"/>
      <c r="F3" s="127"/>
      <c r="G3" s="127"/>
      <c r="H3" s="127"/>
      <c r="I3" s="127"/>
      <c r="J3" s="127"/>
      <c r="K3" s="127"/>
      <c r="L3" s="127"/>
      <c r="M3" s="127"/>
      <c r="N3" s="127"/>
      <c r="O3" s="127"/>
      <c r="P3" s="127"/>
    </row>
    <row r="4" customFormat="false" ht="18" hidden="false" customHeight="true" outlineLevel="0" collapsed="false">
      <c r="A4" s="14" t="s">
        <v>446</v>
      </c>
      <c r="B4" s="14"/>
      <c r="C4" s="14"/>
      <c r="D4" s="14"/>
      <c r="E4" s="14"/>
      <c r="F4" s="14"/>
      <c r="G4" s="14"/>
      <c r="H4" s="14"/>
      <c r="I4" s="14"/>
      <c r="J4" s="14"/>
      <c r="K4" s="14"/>
      <c r="L4" s="14"/>
      <c r="M4" s="14"/>
      <c r="N4" s="14"/>
      <c r="O4" s="14"/>
      <c r="P4" s="14"/>
    </row>
    <row r="5" customFormat="false" ht="31.5" hidden="false" customHeight="true" outlineLevel="0" collapsed="false">
      <c r="A5" s="85" t="s">
        <v>447</v>
      </c>
      <c r="B5" s="85"/>
      <c r="C5" s="53" t="s">
        <v>448</v>
      </c>
      <c r="D5" s="128" t="s">
        <v>449</v>
      </c>
      <c r="E5" s="129" t="s">
        <v>450</v>
      </c>
      <c r="F5" s="53"/>
      <c r="G5" s="53" t="s">
        <v>451</v>
      </c>
      <c r="H5" s="53"/>
      <c r="I5" s="53"/>
      <c r="J5" s="53"/>
      <c r="K5" s="53"/>
      <c r="L5" s="53"/>
      <c r="M5" s="53"/>
      <c r="N5" s="53"/>
      <c r="O5" s="53"/>
      <c r="P5" s="53"/>
    </row>
    <row r="6" customFormat="false" ht="15" hidden="false" customHeight="true" outlineLevel="0" collapsed="false">
      <c r="A6" s="27" t="s">
        <v>452</v>
      </c>
      <c r="B6" s="3"/>
      <c r="C6" s="121" t="n">
        <v>0</v>
      </c>
      <c r="D6" s="121" t="n">
        <v>0.06</v>
      </c>
      <c r="E6" s="121" t="n">
        <v>0</v>
      </c>
      <c r="F6" s="3"/>
      <c r="G6" s="26" t="s">
        <v>453</v>
      </c>
      <c r="H6" s="3"/>
      <c r="I6" s="3"/>
      <c r="J6" s="3"/>
      <c r="K6" s="3"/>
      <c r="L6" s="3"/>
      <c r="M6" s="3"/>
      <c r="N6" s="3"/>
      <c r="O6" s="3"/>
      <c r="P6" s="3"/>
    </row>
    <row r="7" customFormat="false" ht="15" hidden="false" customHeight="true" outlineLevel="0" collapsed="false">
      <c r="A7" s="27" t="s">
        <v>454</v>
      </c>
      <c r="B7" s="3"/>
      <c r="C7" s="121" t="n">
        <v>0</v>
      </c>
      <c r="D7" s="121" t="n">
        <v>0.015</v>
      </c>
      <c r="E7" s="121" t="n">
        <v>0</v>
      </c>
      <c r="F7" s="3"/>
      <c r="G7" s="26" t="s">
        <v>455</v>
      </c>
      <c r="H7" s="3"/>
      <c r="I7" s="3"/>
      <c r="J7" s="3"/>
      <c r="K7" s="3"/>
      <c r="L7" s="3"/>
      <c r="M7" s="3"/>
      <c r="N7" s="3"/>
      <c r="O7" s="3"/>
      <c r="P7" s="3"/>
    </row>
    <row r="8" customFormat="false" ht="15" hidden="false" customHeight="true" outlineLevel="0" collapsed="false">
      <c r="A8" s="27" t="s">
        <v>456</v>
      </c>
      <c r="B8" s="3"/>
      <c r="C8" s="121" t="n">
        <v>0</v>
      </c>
      <c r="D8" s="121" t="n">
        <v>-0.12</v>
      </c>
      <c r="E8" s="121" t="n">
        <v>0</v>
      </c>
      <c r="F8" s="3"/>
      <c r="G8" s="26" t="s">
        <v>457</v>
      </c>
      <c r="H8" s="3"/>
      <c r="I8" s="3"/>
      <c r="J8" s="3"/>
      <c r="K8" s="3"/>
      <c r="L8" s="3"/>
      <c r="M8" s="3"/>
      <c r="N8" s="3"/>
      <c r="O8" s="3"/>
      <c r="P8" s="3"/>
    </row>
    <row r="9" customFormat="false" ht="15" hidden="false" customHeight="true" outlineLevel="0" collapsed="false">
      <c r="A9" s="27" t="s">
        <v>458</v>
      </c>
      <c r="B9" s="3"/>
      <c r="C9" s="121" t="n">
        <v>0</v>
      </c>
      <c r="D9" s="121" t="n">
        <v>-0.08</v>
      </c>
      <c r="E9" s="121" t="n">
        <v>0</v>
      </c>
      <c r="F9" s="3"/>
      <c r="G9" s="26" t="s">
        <v>459</v>
      </c>
      <c r="H9" s="3"/>
      <c r="I9" s="3"/>
      <c r="J9" s="3"/>
      <c r="K9" s="3"/>
      <c r="L9" s="3"/>
      <c r="M9" s="3"/>
      <c r="N9" s="3"/>
      <c r="O9" s="3"/>
      <c r="P9" s="3"/>
    </row>
    <row r="10" customFormat="false" ht="15" hidden="false" customHeight="true" outlineLevel="0" collapsed="false">
      <c r="A10" s="27" t="s">
        <v>460</v>
      </c>
      <c r="B10" s="3"/>
      <c r="C10" s="121" t="n">
        <v>0</v>
      </c>
      <c r="D10" s="121" t="n">
        <v>0.02</v>
      </c>
      <c r="E10" s="121" t="n">
        <v>0</v>
      </c>
      <c r="F10" s="3"/>
      <c r="G10" s="3"/>
      <c r="H10" s="3"/>
      <c r="I10" s="3"/>
      <c r="J10" s="3"/>
      <c r="K10" s="3"/>
      <c r="L10" s="3"/>
      <c r="M10" s="3"/>
      <c r="N10" s="3"/>
      <c r="O10" s="3"/>
      <c r="P10" s="3"/>
    </row>
    <row r="11" customFormat="false" ht="15" hidden="false" customHeight="true" outlineLevel="0" collapsed="false">
      <c r="A11" s="27" t="s">
        <v>461</v>
      </c>
      <c r="B11" s="3"/>
      <c r="C11" s="121" t="n">
        <v>0</v>
      </c>
      <c r="D11" s="121" t="n">
        <v>0</v>
      </c>
      <c r="E11" s="121" t="n">
        <v>0.25</v>
      </c>
      <c r="F11" s="3"/>
      <c r="G11" s="26" t="s">
        <v>462</v>
      </c>
      <c r="H11" s="3"/>
      <c r="I11" s="3"/>
      <c r="J11" s="3"/>
      <c r="K11" s="3"/>
      <c r="L11" s="3"/>
      <c r="M11" s="3"/>
      <c r="N11" s="3"/>
      <c r="O11" s="3"/>
      <c r="P11" s="3"/>
    </row>
    <row r="12" customFormat="false" ht="15" hidden="false" customHeight="true" outlineLevel="0" collapsed="false">
      <c r="A12" s="27" t="s">
        <v>463</v>
      </c>
      <c r="B12" s="3"/>
      <c r="C12" s="130" t="n">
        <v>1</v>
      </c>
      <c r="D12" s="130" t="n">
        <v>1</v>
      </c>
      <c r="E12" s="130" t="n">
        <v>1.3</v>
      </c>
      <c r="F12" s="3"/>
      <c r="G12" s="26" t="s">
        <v>464</v>
      </c>
      <c r="H12" s="3"/>
      <c r="I12" s="3"/>
      <c r="J12" s="3"/>
      <c r="K12" s="3"/>
      <c r="L12" s="3"/>
      <c r="M12" s="3"/>
      <c r="N12" s="3"/>
      <c r="O12" s="3"/>
      <c r="P12" s="3"/>
    </row>
    <row r="13" customFormat="false" ht="15" hidden="false" customHeight="true" outlineLevel="0" collapsed="false">
      <c r="A13" s="27" t="s">
        <v>465</v>
      </c>
      <c r="B13" s="3"/>
      <c r="C13" s="50" t="n">
        <v>0</v>
      </c>
      <c r="D13" s="50" t="n">
        <v>0</v>
      </c>
      <c r="E13" s="50" t="n">
        <v>4</v>
      </c>
      <c r="F13" s="3"/>
      <c r="G13" s="3"/>
      <c r="H13" s="3"/>
      <c r="I13" s="3"/>
      <c r="J13" s="3"/>
      <c r="K13" s="3"/>
      <c r="L13" s="3"/>
      <c r="M13" s="3"/>
      <c r="N13" s="3"/>
      <c r="O13" s="3"/>
      <c r="P13" s="3"/>
    </row>
    <row r="14" customFormat="false" ht="15" hidden="false" customHeight="true" outlineLevel="0" collapsed="false">
      <c r="A14" s="27" t="s">
        <v>466</v>
      </c>
      <c r="B14" s="3"/>
      <c r="C14" s="131" t="n">
        <v>0</v>
      </c>
      <c r="D14" s="131" t="n">
        <v>0</v>
      </c>
      <c r="E14" s="131" t="n">
        <v>96000</v>
      </c>
      <c r="F14" s="3"/>
      <c r="G14" s="26" t="s">
        <v>467</v>
      </c>
      <c r="H14" s="3"/>
      <c r="I14" s="3"/>
      <c r="J14" s="3"/>
      <c r="K14" s="3"/>
      <c r="L14" s="3"/>
      <c r="M14" s="3"/>
      <c r="N14" s="3"/>
      <c r="O14" s="3"/>
      <c r="P14" s="3"/>
    </row>
    <row r="15" customFormat="false" ht="15" hidden="false" customHeight="true" outlineLevel="0" collapsed="false">
      <c r="A15" s="27" t="s">
        <v>468</v>
      </c>
      <c r="B15" s="3"/>
      <c r="C15" s="121" t="n">
        <v>0</v>
      </c>
      <c r="D15" s="121" t="n">
        <v>0</v>
      </c>
      <c r="E15" s="121" t="n">
        <v>0.5</v>
      </c>
      <c r="F15" s="3"/>
      <c r="G15" s="3"/>
      <c r="H15" s="3"/>
      <c r="I15" s="3"/>
      <c r="J15" s="3"/>
      <c r="K15" s="3"/>
      <c r="L15" s="3"/>
      <c r="M15" s="3"/>
      <c r="N15" s="3"/>
      <c r="O15" s="3"/>
      <c r="P15" s="3"/>
    </row>
    <row r="16" customFormat="false" ht="15" hidden="false" customHeight="true" outlineLevel="0" collapsed="false">
      <c r="A16" s="27" t="s">
        <v>469</v>
      </c>
      <c r="B16" s="3"/>
      <c r="C16" s="50" t="n">
        <v>0</v>
      </c>
      <c r="D16" s="50" t="n">
        <v>0</v>
      </c>
      <c r="E16" s="50" t="n">
        <v>5</v>
      </c>
      <c r="F16" s="3"/>
      <c r="G16" s="3"/>
      <c r="H16" s="3"/>
      <c r="I16" s="3"/>
      <c r="J16" s="3"/>
      <c r="K16" s="3"/>
      <c r="L16" s="3"/>
      <c r="M16" s="3"/>
      <c r="N16" s="3"/>
      <c r="O16" s="3"/>
      <c r="P16" s="3"/>
    </row>
    <row r="17" customFormat="false" ht="15" hidden="false" customHeight="true" outlineLevel="0" collapsed="false">
      <c r="A17" s="27" t="s">
        <v>470</v>
      </c>
      <c r="B17" s="3"/>
      <c r="C17" s="50" t="n">
        <v>0</v>
      </c>
      <c r="D17" s="50" t="n">
        <v>0</v>
      </c>
      <c r="E17" s="50" t="n">
        <v>7</v>
      </c>
      <c r="F17" s="3"/>
      <c r="G17" s="3"/>
      <c r="H17" s="3"/>
      <c r="I17" s="3"/>
      <c r="J17" s="3"/>
      <c r="K17" s="3"/>
      <c r="L17" s="3"/>
      <c r="M17" s="3"/>
      <c r="N17" s="3"/>
      <c r="O17" s="3"/>
      <c r="P17" s="3"/>
    </row>
    <row r="18" customFormat="false" ht="15" hidden="false" customHeight="true" outlineLevel="0" collapsed="false">
      <c r="A18" s="27" t="s">
        <v>471</v>
      </c>
      <c r="B18" s="3"/>
      <c r="C18" s="131" t="n">
        <v>0</v>
      </c>
      <c r="D18" s="131" t="n">
        <v>0</v>
      </c>
      <c r="E18" s="131" t="n">
        <v>42000</v>
      </c>
      <c r="F18" s="3"/>
      <c r="G18" s="26" t="s">
        <v>472</v>
      </c>
      <c r="H18" s="3"/>
      <c r="I18" s="3"/>
      <c r="J18" s="3"/>
      <c r="K18" s="3"/>
      <c r="L18" s="3"/>
      <c r="M18" s="3"/>
      <c r="N18" s="3"/>
      <c r="O18" s="3"/>
      <c r="P18" s="3"/>
    </row>
    <row r="19" customFormat="false" ht="15" hidden="false" customHeight="true" outlineLevel="0" collapsed="false">
      <c r="A19" s="27" t="s">
        <v>473</v>
      </c>
      <c r="B19" s="3"/>
      <c r="C19" s="50" t="n">
        <v>0</v>
      </c>
      <c r="D19" s="50" t="n">
        <v>0</v>
      </c>
      <c r="E19" s="50" t="n">
        <v>6</v>
      </c>
      <c r="F19" s="3"/>
      <c r="G19" s="3"/>
      <c r="H19" s="3"/>
      <c r="I19" s="3"/>
      <c r="J19" s="3"/>
      <c r="K19" s="3"/>
      <c r="L19" s="3"/>
      <c r="M19" s="3"/>
      <c r="N19" s="3"/>
      <c r="O19" s="3"/>
      <c r="P19" s="3"/>
    </row>
    <row r="20" customFormat="false" ht="15" hidden="false" customHeight="true" outlineLevel="0" collapsed="false">
      <c r="A20" s="27" t="s">
        <v>474</v>
      </c>
      <c r="B20" s="3"/>
      <c r="C20" s="130" t="n">
        <v>1</v>
      </c>
      <c r="D20" s="130" t="n">
        <v>1</v>
      </c>
      <c r="E20" s="130" t="n">
        <v>0.8</v>
      </c>
      <c r="F20" s="3"/>
      <c r="G20" s="26" t="s">
        <v>475</v>
      </c>
      <c r="H20" s="3"/>
      <c r="I20" s="3"/>
      <c r="J20" s="3"/>
      <c r="K20" s="3"/>
      <c r="L20" s="3"/>
      <c r="M20" s="3"/>
      <c r="N20" s="3"/>
      <c r="O20" s="3"/>
      <c r="P20" s="3"/>
    </row>
    <row r="21" customFormat="false" ht="15" hidden="false" customHeight="true" outlineLevel="0" collapsed="false">
      <c r="A21" s="3"/>
      <c r="B21" s="3"/>
      <c r="C21" s="3"/>
      <c r="D21" s="3"/>
      <c r="E21" s="3"/>
      <c r="F21" s="3"/>
      <c r="G21" s="3"/>
      <c r="H21" s="3"/>
      <c r="I21" s="3"/>
      <c r="J21" s="3"/>
      <c r="K21" s="3"/>
      <c r="L21" s="3"/>
      <c r="M21" s="3"/>
      <c r="N21" s="3"/>
      <c r="O21" s="3"/>
      <c r="P21" s="3"/>
    </row>
    <row r="22" customFormat="false" ht="18" hidden="false" customHeight="true" outlineLevel="0" collapsed="false">
      <c r="A22" s="14" t="s">
        <v>476</v>
      </c>
      <c r="B22" s="14"/>
      <c r="C22" s="14"/>
      <c r="D22" s="14"/>
      <c r="E22" s="14"/>
      <c r="F22" s="14"/>
      <c r="G22" s="14"/>
      <c r="H22" s="14"/>
      <c r="I22" s="14"/>
      <c r="J22" s="14"/>
      <c r="K22" s="14"/>
      <c r="L22" s="14"/>
      <c r="M22" s="14"/>
      <c r="N22" s="14"/>
      <c r="O22" s="14"/>
      <c r="P22" s="14"/>
    </row>
    <row r="23" customFormat="false" ht="31.5" hidden="false" customHeight="true" outlineLevel="0" collapsed="false">
      <c r="A23" s="85" t="s">
        <v>477</v>
      </c>
      <c r="B23" s="85"/>
      <c r="C23" s="53" t="s">
        <v>448</v>
      </c>
      <c r="D23" s="128" t="s">
        <v>449</v>
      </c>
      <c r="E23" s="129" t="s">
        <v>450</v>
      </c>
      <c r="F23" s="53" t="s">
        <v>478</v>
      </c>
      <c r="G23" s="53" t="s">
        <v>479</v>
      </c>
      <c r="H23" s="53"/>
      <c r="I23" s="53"/>
      <c r="J23" s="53"/>
      <c r="K23" s="53"/>
      <c r="L23" s="53"/>
      <c r="M23" s="53"/>
      <c r="N23" s="53"/>
      <c r="O23" s="53"/>
      <c r="P23" s="53"/>
    </row>
    <row r="24" customFormat="false" ht="13.5" hidden="false" customHeight="true" outlineLevel="0" collapsed="false">
      <c r="A24" s="27" t="s">
        <v>388</v>
      </c>
      <c r="B24" s="3"/>
      <c r="C24" s="35" t="n">
        <f aca="false">'Channel Profitability'!$C$54*(1+$C$6)*IF($C$13=0,1,0)</f>
        <v>82720</v>
      </c>
      <c r="D24" s="35" t="n">
        <f aca="false">'Channel Profitability'!$C$54*(1+$D$6)*IF($D$13=0,1,0)</f>
        <v>87683.2</v>
      </c>
      <c r="E24" s="35" t="n">
        <f aca="false">'Channel Profitability'!$C$54*(1+$E$6)*IF($E$13=0,1,0)</f>
        <v>0</v>
      </c>
      <c r="F24" s="63" t="n">
        <f aca="false">D24-C24</f>
        <v>4963.20000000001</v>
      </c>
      <c r="G24" s="63" t="n">
        <f aca="false">E24-C24</f>
        <v>-82720</v>
      </c>
      <c r="H24" s="3"/>
      <c r="I24" s="3"/>
      <c r="J24" s="3"/>
      <c r="K24" s="3"/>
      <c r="L24" s="3"/>
      <c r="M24" s="3"/>
      <c r="N24" s="3"/>
      <c r="O24" s="3"/>
      <c r="P24" s="3"/>
    </row>
    <row r="25" customFormat="false" ht="13.5" hidden="false" customHeight="true" outlineLevel="0" collapsed="false">
      <c r="A25" s="27" t="s">
        <v>480</v>
      </c>
      <c r="B25" s="3"/>
      <c r="C25" s="35" t="n">
        <f aca="false">'Channel Profitability'!$D$54*(1+$C$10)+'Channel Profitability'!$C$54*(1-IF($C$13=0,1,0))*$C$11</f>
        <v>83600</v>
      </c>
      <c r="D25" s="35" t="n">
        <f aca="false">'Channel Profitability'!$D$54*(1+$D$10)+'Channel Profitability'!$C$54*(1-IF($D$13=0,1,0))*$D$11</f>
        <v>85272</v>
      </c>
      <c r="E25" s="35" t="n">
        <f aca="false">'Channel Profitability'!$D$54*(1+$E$10)+'Channel Profitability'!$C$54*(1-IF($E$13=0,1,0))*$E$11</f>
        <v>104280</v>
      </c>
      <c r="F25" s="63" t="n">
        <f aca="false">D25-C25</f>
        <v>1672</v>
      </c>
      <c r="G25" s="63" t="n">
        <f aca="false">E25-C25</f>
        <v>20680</v>
      </c>
      <c r="H25" s="3"/>
      <c r="I25" s="3"/>
      <c r="J25" s="3"/>
      <c r="K25" s="3"/>
      <c r="L25" s="3"/>
      <c r="M25" s="3"/>
      <c r="N25" s="3"/>
      <c r="O25" s="3"/>
      <c r="P25" s="3"/>
    </row>
    <row r="26" customFormat="false" ht="13.5" hidden="false" customHeight="true" outlineLevel="0" collapsed="false">
      <c r="A26" s="27" t="s">
        <v>481</v>
      </c>
      <c r="B26" s="3"/>
      <c r="C26" s="35" t="n">
        <f aca="false">'Channel Profitability'!$E$54</f>
        <v>29100</v>
      </c>
      <c r="D26" s="35" t="n">
        <f aca="false">'Channel Profitability'!$E$54</f>
        <v>29100</v>
      </c>
      <c r="E26" s="35" t="n">
        <f aca="false">'Channel Profitability'!$E$54</f>
        <v>29100</v>
      </c>
      <c r="F26" s="63" t="n">
        <f aca="false">D26-C26</f>
        <v>0</v>
      </c>
      <c r="G26" s="63" t="n">
        <f aca="false">E26-C26</f>
        <v>0</v>
      </c>
      <c r="H26" s="3"/>
      <c r="I26" s="3"/>
      <c r="J26" s="3"/>
      <c r="K26" s="3"/>
      <c r="L26" s="3"/>
      <c r="M26" s="3"/>
      <c r="N26" s="3"/>
      <c r="O26" s="3"/>
      <c r="P26" s="3"/>
    </row>
    <row r="27" customFormat="false" ht="13.5" hidden="false" customHeight="true" outlineLevel="0" collapsed="false">
      <c r="A27" s="27" t="s">
        <v>482</v>
      </c>
      <c r="B27" s="3"/>
      <c r="C27" s="35" t="n">
        <f aca="false">'Channel Profitability'!$F$54</f>
        <v>34000</v>
      </c>
      <c r="D27" s="35" t="n">
        <f aca="false">'Channel Profitability'!$F$54</f>
        <v>34000</v>
      </c>
      <c r="E27" s="35" t="n">
        <f aca="false">'Channel Profitability'!$F$54</f>
        <v>34000</v>
      </c>
      <c r="F27" s="63" t="n">
        <f aca="false">D27-C27</f>
        <v>0</v>
      </c>
      <c r="G27" s="63" t="n">
        <f aca="false">E27-C27</f>
        <v>0</v>
      </c>
      <c r="H27" s="3"/>
      <c r="I27" s="3"/>
      <c r="J27" s="3"/>
      <c r="K27" s="3"/>
      <c r="L27" s="3"/>
      <c r="M27" s="3"/>
      <c r="N27" s="3"/>
      <c r="O27" s="3"/>
      <c r="P27" s="3"/>
    </row>
    <row r="28" customFormat="false" ht="16.5" hidden="false" customHeight="true" outlineLevel="0" collapsed="false">
      <c r="A28" s="89" t="s">
        <v>483</v>
      </c>
      <c r="B28" s="90"/>
      <c r="C28" s="61" t="n">
        <f aca="false">SUM(C24:C27)</f>
        <v>229420</v>
      </c>
      <c r="D28" s="61" t="n">
        <f aca="false">SUM(D24:D27)</f>
        <v>236055.2</v>
      </c>
      <c r="E28" s="61" t="n">
        <f aca="false">SUM(E24:E27)</f>
        <v>167380</v>
      </c>
      <c r="F28" s="132" t="n">
        <f aca="false">D28-C28</f>
        <v>6635.20000000001</v>
      </c>
      <c r="G28" s="132" t="n">
        <f aca="false">E28-C28</f>
        <v>-62040</v>
      </c>
      <c r="H28" s="3"/>
      <c r="I28" s="3"/>
      <c r="J28" s="3"/>
      <c r="K28" s="3"/>
      <c r="L28" s="3"/>
      <c r="M28" s="3"/>
      <c r="N28" s="3"/>
      <c r="O28" s="3"/>
      <c r="P28" s="3"/>
    </row>
    <row r="29" customFormat="false" ht="16.5" hidden="false" customHeight="true" outlineLevel="0" collapsed="false">
      <c r="A29" s="89" t="s">
        <v>348</v>
      </c>
      <c r="B29" s="90"/>
      <c r="C29" s="61" t="n">
        <f aca="false">C24*(Assumptions!$B$27+$C$7)+C25*Assumptions!$B$28+C26*Assumptions!$B$29+C27*Assumptions!$B$30</f>
        <v>137161.6</v>
      </c>
      <c r="D29" s="61" t="n">
        <f aca="false">D24*(Assumptions!$B$27+$D$7)+D25*Assumptions!$B$28+D26*Assumptions!$B$29+D27*Assumptions!$B$30</f>
        <v>142358.704</v>
      </c>
      <c r="E29" s="61" t="n">
        <f aca="false">E24*(Assumptions!$B$27+$E$7)+E25*Assumptions!$B$28+E26*Assumptions!$B$29+E27*Assumptions!$B$30</f>
        <v>101592</v>
      </c>
      <c r="F29" s="132" t="n">
        <f aca="false">D29-C29</f>
        <v>5197.10399999999</v>
      </c>
      <c r="G29" s="132" t="n">
        <f aca="false">E29-C29</f>
        <v>-35569.6</v>
      </c>
      <c r="H29" s="3"/>
      <c r="I29" s="3"/>
      <c r="J29" s="3"/>
      <c r="K29" s="3"/>
      <c r="L29" s="3"/>
      <c r="M29" s="3"/>
      <c r="N29" s="3"/>
      <c r="O29" s="3"/>
      <c r="P29" s="3"/>
    </row>
    <row r="30" customFormat="false" ht="15" hidden="false" customHeight="true" outlineLevel="0" collapsed="false">
      <c r="A30" s="27" t="s">
        <v>349</v>
      </c>
      <c r="B30" s="3"/>
      <c r="C30" s="93" t="n">
        <f aca="false">IFERROR(C29/C28,0)</f>
        <v>0.597862435707436</v>
      </c>
      <c r="D30" s="93" t="n">
        <f aca="false">IFERROR(D29/D28,0)</f>
        <v>0.603073789520417</v>
      </c>
      <c r="E30" s="93" t="n">
        <f aca="false">IFERROR(E29/E28,0)</f>
        <v>0.606954235870474</v>
      </c>
      <c r="F30" s="133" t="n">
        <f aca="false">D30-C30</f>
        <v>0.0052113538129811</v>
      </c>
      <c r="G30" s="133" t="n">
        <f aca="false">E30-C30</f>
        <v>0.00909180016303823</v>
      </c>
      <c r="H30" s="3"/>
      <c r="I30" s="3"/>
      <c r="J30" s="3"/>
      <c r="K30" s="3"/>
      <c r="L30" s="3"/>
      <c r="M30" s="3"/>
      <c r="N30" s="3"/>
      <c r="O30" s="3"/>
      <c r="P30" s="3"/>
    </row>
    <row r="31" customFormat="false" ht="6" hidden="false" customHeight="true" outlineLevel="0" collapsed="false">
      <c r="A31" s="3"/>
      <c r="B31" s="3"/>
      <c r="C31" s="3"/>
      <c r="D31" s="3"/>
      <c r="E31" s="3"/>
      <c r="F31" s="3"/>
      <c r="G31" s="3"/>
      <c r="H31" s="3"/>
      <c r="I31" s="3"/>
      <c r="J31" s="3"/>
      <c r="K31" s="3"/>
      <c r="L31" s="3"/>
      <c r="M31" s="3"/>
      <c r="N31" s="3"/>
      <c r="O31" s="3"/>
      <c r="P31" s="3"/>
    </row>
    <row r="32" customFormat="false" ht="12.75" hidden="false" customHeight="true" outlineLevel="0" collapsed="false">
      <c r="A32" s="134" t="s">
        <v>484</v>
      </c>
      <c r="B32" s="3"/>
      <c r="C32" s="88" t="n">
        <f aca="false">Assumptions!$B$27+$C$7-Assumptions!$B$33-Assumptions!$B$36-Assumptions!$B$37</f>
        <v>0.524</v>
      </c>
      <c r="D32" s="88" t="n">
        <f aca="false">Assumptions!$B$27+$D$7-Assumptions!$B$33-Assumptions!$B$36-Assumptions!$B$37</f>
        <v>0.539</v>
      </c>
      <c r="E32" s="88" t="n">
        <f aca="false">Assumptions!$B$27+$E$7-Assumptions!$B$33-Assumptions!$B$36-Assumptions!$B$37</f>
        <v>0.524</v>
      </c>
      <c r="F32" s="3"/>
      <c r="G32" s="3"/>
      <c r="H32" s="3"/>
      <c r="I32" s="3"/>
      <c r="J32" s="3"/>
      <c r="K32" s="3"/>
      <c r="L32" s="3"/>
      <c r="M32" s="3"/>
      <c r="N32" s="3"/>
      <c r="O32" s="3"/>
      <c r="P32" s="3"/>
    </row>
    <row r="33" customFormat="false" ht="12.75" hidden="false" customHeight="true" outlineLevel="0" collapsed="false">
      <c r="A33" s="134" t="s">
        <v>485</v>
      </c>
      <c r="B33" s="3"/>
      <c r="C33" s="88" t="n">
        <f aca="false">Assumptions!$B$28-Assumptions!$B$34-Assumptions!$B$38-Assumptions!$B$39*$C$12</f>
        <v>0.416</v>
      </c>
      <c r="D33" s="88" t="n">
        <f aca="false">Assumptions!$B$28-Assumptions!$B$34-Assumptions!$B$38-Assumptions!$B$39*$D$12</f>
        <v>0.416</v>
      </c>
      <c r="E33" s="88" t="n">
        <f aca="false">Assumptions!$B$28-Assumptions!$B$34-Assumptions!$B$38-Assumptions!$B$39*$E$12</f>
        <v>0.389</v>
      </c>
      <c r="F33" s="3"/>
      <c r="G33" s="3"/>
      <c r="H33" s="3"/>
      <c r="I33" s="3"/>
      <c r="J33" s="3"/>
      <c r="K33" s="3"/>
      <c r="L33" s="3"/>
      <c r="M33" s="3"/>
      <c r="N33" s="3"/>
      <c r="O33" s="3"/>
      <c r="P33" s="3"/>
    </row>
    <row r="34" customFormat="false" ht="12.75" hidden="false" customHeight="true" outlineLevel="0" collapsed="false">
      <c r="A34" s="134" t="s">
        <v>486</v>
      </c>
      <c r="B34" s="3"/>
      <c r="C34" s="88" t="n">
        <f aca="false">Assumptions!$B$29-Assumptions!$B$35-Assumptions!$B$40</f>
        <v>0.441</v>
      </c>
      <c r="D34" s="88" t="n">
        <f aca="false">Assumptions!$B$29-Assumptions!$B$35-Assumptions!$B$40</f>
        <v>0.441</v>
      </c>
      <c r="E34" s="88" t="n">
        <f aca="false">Assumptions!$B$29-Assumptions!$B$35-Assumptions!$B$40</f>
        <v>0.441</v>
      </c>
      <c r="F34" s="3"/>
      <c r="G34" s="3"/>
      <c r="H34" s="3"/>
      <c r="I34" s="3"/>
      <c r="J34" s="3"/>
      <c r="K34" s="3"/>
      <c r="L34" s="3"/>
      <c r="M34" s="3"/>
      <c r="N34" s="3"/>
      <c r="O34" s="3"/>
      <c r="P34" s="3"/>
    </row>
    <row r="35" customFormat="false" ht="12.75" hidden="false" customHeight="true" outlineLevel="0" collapsed="false">
      <c r="A35" s="134" t="s">
        <v>487</v>
      </c>
      <c r="B35" s="3"/>
      <c r="C35" s="88" t="n">
        <f aca="false">Assumptions!$B$30-Assumptions!$B$41-Assumptions!$B$42</f>
        <v>0.285</v>
      </c>
      <c r="D35" s="88" t="n">
        <f aca="false">Assumptions!$B$30-Assumptions!$B$41-Assumptions!$B$42</f>
        <v>0.285</v>
      </c>
      <c r="E35" s="88" t="n">
        <f aca="false">Assumptions!$B$30-Assumptions!$B$41-Assumptions!$B$42</f>
        <v>0.285</v>
      </c>
      <c r="F35" s="3"/>
      <c r="G35" s="3"/>
      <c r="H35" s="3"/>
      <c r="I35" s="3"/>
      <c r="J35" s="3"/>
      <c r="K35" s="3"/>
      <c r="L35" s="3"/>
      <c r="M35" s="3"/>
      <c r="N35" s="3"/>
      <c r="O35" s="3"/>
      <c r="P35" s="3"/>
    </row>
    <row r="36" customFormat="false" ht="6" hidden="false" customHeight="true" outlineLevel="0" collapsed="false">
      <c r="A36" s="3"/>
      <c r="B36" s="3"/>
      <c r="C36" s="3"/>
      <c r="D36" s="3"/>
      <c r="E36" s="3"/>
      <c r="F36" s="3"/>
      <c r="G36" s="3"/>
      <c r="H36" s="3"/>
      <c r="I36" s="3"/>
      <c r="J36" s="3"/>
      <c r="K36" s="3"/>
      <c r="L36" s="3"/>
      <c r="M36" s="3"/>
      <c r="N36" s="3"/>
      <c r="O36" s="3"/>
      <c r="P36" s="3"/>
    </row>
    <row r="37" customFormat="false" ht="13.5" hidden="false" customHeight="true" outlineLevel="0" collapsed="false">
      <c r="A37" s="27" t="s">
        <v>488</v>
      </c>
      <c r="B37" s="3"/>
      <c r="C37" s="35" t="n">
        <f aca="false">C24*C32</f>
        <v>43345.28</v>
      </c>
      <c r="D37" s="35" t="n">
        <f aca="false">D24*D32</f>
        <v>47261.2448</v>
      </c>
      <c r="E37" s="35" t="n">
        <f aca="false">E24*E32</f>
        <v>0</v>
      </c>
      <c r="F37" s="63" t="n">
        <f aca="false">D37-C37</f>
        <v>3915.96480000001</v>
      </c>
      <c r="G37" s="63" t="n">
        <f aca="false">E37-C37</f>
        <v>-43345.28</v>
      </c>
      <c r="H37" s="3"/>
      <c r="I37" s="3"/>
      <c r="J37" s="3"/>
      <c r="K37" s="3"/>
      <c r="L37" s="3"/>
      <c r="M37" s="3"/>
      <c r="N37" s="3"/>
      <c r="O37" s="3"/>
      <c r="P37" s="3"/>
    </row>
    <row r="38" customFormat="false" ht="13.5" hidden="false" customHeight="true" outlineLevel="0" collapsed="false">
      <c r="A38" s="27" t="s">
        <v>489</v>
      </c>
      <c r="B38" s="3"/>
      <c r="C38" s="35" t="n">
        <f aca="false">C25*C33</f>
        <v>34777.6</v>
      </c>
      <c r="D38" s="35" t="n">
        <f aca="false">D25*D33</f>
        <v>35473.152</v>
      </c>
      <c r="E38" s="35" t="n">
        <f aca="false">E25*E33</f>
        <v>40564.92</v>
      </c>
      <c r="F38" s="63" t="n">
        <f aca="false">D38-C38</f>
        <v>695.551999999996</v>
      </c>
      <c r="G38" s="63" t="n">
        <f aca="false">E38-C38</f>
        <v>5787.31999999999</v>
      </c>
      <c r="H38" s="3"/>
      <c r="I38" s="3"/>
      <c r="J38" s="3"/>
      <c r="K38" s="3"/>
      <c r="L38" s="3"/>
      <c r="M38" s="3"/>
      <c r="N38" s="3"/>
      <c r="O38" s="3"/>
      <c r="P38" s="3"/>
    </row>
    <row r="39" customFormat="false" ht="13.5" hidden="false" customHeight="true" outlineLevel="0" collapsed="false">
      <c r="A39" s="27" t="s">
        <v>490</v>
      </c>
      <c r="B39" s="3"/>
      <c r="C39" s="35" t="n">
        <f aca="false">C26*C34</f>
        <v>12833.1</v>
      </c>
      <c r="D39" s="35" t="n">
        <f aca="false">D26*D34</f>
        <v>12833.1</v>
      </c>
      <c r="E39" s="35" t="n">
        <f aca="false">E26*E34</f>
        <v>12833.1</v>
      </c>
      <c r="F39" s="63" t="n">
        <f aca="false">D39-C39</f>
        <v>0</v>
      </c>
      <c r="G39" s="63" t="n">
        <f aca="false">E39-C39</f>
        <v>0</v>
      </c>
      <c r="H39" s="3"/>
      <c r="I39" s="3"/>
      <c r="J39" s="3"/>
      <c r="K39" s="3"/>
      <c r="L39" s="3"/>
      <c r="M39" s="3"/>
      <c r="N39" s="3"/>
      <c r="O39" s="3"/>
      <c r="P39" s="3"/>
    </row>
    <row r="40" customFormat="false" ht="13.5" hidden="false" customHeight="true" outlineLevel="0" collapsed="false">
      <c r="A40" s="27" t="s">
        <v>491</v>
      </c>
      <c r="B40" s="3"/>
      <c r="C40" s="35" t="n">
        <f aca="false">C27*C35</f>
        <v>9690</v>
      </c>
      <c r="D40" s="35" t="n">
        <f aca="false">D27*D35</f>
        <v>9690</v>
      </c>
      <c r="E40" s="35" t="n">
        <f aca="false">E27*E35</f>
        <v>9690</v>
      </c>
      <c r="F40" s="63" t="n">
        <f aca="false">D40-C40</f>
        <v>0</v>
      </c>
      <c r="G40" s="63" t="n">
        <f aca="false">E40-C40</f>
        <v>0</v>
      </c>
      <c r="H40" s="3"/>
      <c r="I40" s="3"/>
      <c r="J40" s="3"/>
      <c r="K40" s="3"/>
      <c r="L40" s="3"/>
      <c r="M40" s="3"/>
      <c r="N40" s="3"/>
      <c r="O40" s="3"/>
      <c r="P40" s="3"/>
    </row>
    <row r="41" customFormat="false" ht="16.5" hidden="false" customHeight="true" outlineLevel="0" collapsed="false">
      <c r="A41" s="89" t="s">
        <v>492</v>
      </c>
      <c r="B41" s="90"/>
      <c r="C41" s="61" t="n">
        <f aca="false">SUM(C37:C40)</f>
        <v>100645.98</v>
      </c>
      <c r="D41" s="61" t="n">
        <f aca="false">SUM(D37:D40)</f>
        <v>105257.4968</v>
      </c>
      <c r="E41" s="61" t="n">
        <f aca="false">SUM(E37:E40)</f>
        <v>63088.02</v>
      </c>
      <c r="F41" s="132" t="n">
        <f aca="false">D41-C41</f>
        <v>4611.51680000001</v>
      </c>
      <c r="G41" s="132" t="n">
        <f aca="false">E41-C41</f>
        <v>-37557.96</v>
      </c>
      <c r="H41" s="3"/>
      <c r="I41" s="3"/>
      <c r="J41" s="3"/>
      <c r="K41" s="3"/>
      <c r="L41" s="3"/>
      <c r="M41" s="3"/>
      <c r="N41" s="3"/>
      <c r="O41" s="3"/>
      <c r="P41" s="3"/>
    </row>
    <row r="42" customFormat="false" ht="15" hidden="false" customHeight="true" outlineLevel="0" collapsed="false">
      <c r="A42" s="27" t="s">
        <v>360</v>
      </c>
      <c r="B42" s="3"/>
      <c r="C42" s="93" t="n">
        <f aca="false">IFERROR(C41/C28,0)</f>
        <v>0.438697498038532</v>
      </c>
      <c r="D42" s="93" t="n">
        <f aca="false">IFERROR(D41/D28,0)</f>
        <v>0.445902046639939</v>
      </c>
      <c r="E42" s="93" t="n">
        <f aca="false">IFERROR(E41/E28,0)</f>
        <v>0.376914924124746</v>
      </c>
      <c r="F42" s="133" t="n">
        <f aca="false">D42-C42</f>
        <v>0.00720454860140657</v>
      </c>
      <c r="G42" s="133" t="n">
        <f aca="false">E42-C42</f>
        <v>-0.0617825739137858</v>
      </c>
      <c r="H42" s="3"/>
      <c r="I42" s="3"/>
      <c r="J42" s="3"/>
      <c r="K42" s="3"/>
      <c r="L42" s="3"/>
      <c r="M42" s="3"/>
      <c r="N42" s="3"/>
      <c r="O42" s="3"/>
      <c r="P42" s="3"/>
    </row>
    <row r="43" customFormat="false" ht="6" hidden="false" customHeight="true" outlineLevel="0" collapsed="false">
      <c r="A43" s="3"/>
      <c r="B43" s="3"/>
      <c r="C43" s="3"/>
      <c r="D43" s="3"/>
      <c r="E43" s="3"/>
      <c r="F43" s="3"/>
      <c r="G43" s="3"/>
      <c r="H43" s="3"/>
      <c r="I43" s="3"/>
      <c r="J43" s="3"/>
      <c r="K43" s="3"/>
      <c r="L43" s="3"/>
      <c r="M43" s="3"/>
      <c r="N43" s="3"/>
      <c r="O43" s="3"/>
      <c r="P43" s="3"/>
    </row>
    <row r="44" customFormat="false" ht="13.5" hidden="false" customHeight="true" outlineLevel="0" collapsed="false">
      <c r="A44" s="27" t="s">
        <v>493</v>
      </c>
      <c r="B44" s="3"/>
      <c r="C44" s="35" t="n">
        <f aca="false">-IF($C$13=0,1,0)*(Assumptions!$B$45+Assumptions!$B$46*(1+$C$8)+(Assumptions!$B$47+Assumptions!$B$48+Assumptions!$B$49)*(1+$C$9))</f>
        <v>-44450</v>
      </c>
      <c r="D44" s="35" t="n">
        <f aca="false">-IF($D$13=0,1,0)*(Assumptions!$B$45+Assumptions!$B$46*(1+$D$8)+(Assumptions!$B$47+Assumptions!$B$48+Assumptions!$B$49)*(1+$D$9))</f>
        <v>-41914</v>
      </c>
      <c r="E44" s="35" t="n">
        <f aca="false">-IF($E$13=0,1,0)*(Assumptions!$B$45+Assumptions!$B$46*(1+$E$8)+(Assumptions!$B$47+Assumptions!$B$48+Assumptions!$B$49)*(1+$E$9))</f>
        <v>-0</v>
      </c>
      <c r="F44" s="63" t="n">
        <f aca="false">D44-C44</f>
        <v>2536</v>
      </c>
      <c r="G44" s="63" t="n">
        <f aca="false">E44-C44</f>
        <v>44450</v>
      </c>
      <c r="H44" s="3"/>
      <c r="I44" s="3"/>
      <c r="J44" s="3"/>
      <c r="K44" s="3"/>
      <c r="L44" s="3"/>
      <c r="M44" s="3"/>
      <c r="N44" s="3"/>
      <c r="O44" s="3"/>
      <c r="P44" s="3"/>
    </row>
    <row r="45" customFormat="false" ht="13.5" hidden="false" customHeight="true" outlineLevel="0" collapsed="false">
      <c r="A45" s="27" t="s">
        <v>494</v>
      </c>
      <c r="B45" s="3"/>
      <c r="C45" s="35" t="n">
        <f aca="false">-Assumptions!$B$55</f>
        <v>-6300</v>
      </c>
      <c r="D45" s="35" t="n">
        <f aca="false">-Assumptions!$B$55</f>
        <v>-6300</v>
      </c>
      <c r="E45" s="35" t="n">
        <f aca="false">-Assumptions!$B$55</f>
        <v>-6300</v>
      </c>
      <c r="F45" s="63" t="n">
        <f aca="false">D45-C45</f>
        <v>0</v>
      </c>
      <c r="G45" s="63" t="n">
        <f aca="false">E45-C45</f>
        <v>0</v>
      </c>
      <c r="H45" s="3"/>
      <c r="I45" s="3"/>
      <c r="J45" s="3"/>
      <c r="K45" s="3"/>
      <c r="L45" s="3"/>
      <c r="M45" s="3"/>
      <c r="N45" s="3"/>
      <c r="O45" s="3"/>
      <c r="P45" s="3"/>
    </row>
    <row r="46" customFormat="false" ht="16.5" hidden="false" customHeight="true" outlineLevel="0" collapsed="false">
      <c r="A46" s="89" t="s">
        <v>363</v>
      </c>
      <c r="B46" s="90"/>
      <c r="C46" s="61" t="n">
        <f aca="false">C44+C45</f>
        <v>-50750</v>
      </c>
      <c r="D46" s="61" t="n">
        <f aca="false">D44+D45</f>
        <v>-48214</v>
      </c>
      <c r="E46" s="61" t="n">
        <f aca="false">E44+E45</f>
        <v>-6300</v>
      </c>
      <c r="F46" s="132" t="n">
        <f aca="false">D46-C46</f>
        <v>2536</v>
      </c>
      <c r="G46" s="132" t="n">
        <f aca="false">E46-C46</f>
        <v>44450</v>
      </c>
      <c r="H46" s="3"/>
      <c r="I46" s="3"/>
      <c r="J46" s="3"/>
      <c r="K46" s="3"/>
      <c r="L46" s="3"/>
      <c r="M46" s="3"/>
      <c r="N46" s="3"/>
      <c r="O46" s="3"/>
      <c r="P46" s="3"/>
    </row>
    <row r="47" customFormat="false" ht="16.5" hidden="false" customHeight="true" outlineLevel="0" collapsed="false">
      <c r="A47" s="89" t="s">
        <v>495</v>
      </c>
      <c r="B47" s="90"/>
      <c r="C47" s="61" t="n">
        <f aca="false">C41+C46</f>
        <v>49895.98</v>
      </c>
      <c r="D47" s="61" t="n">
        <f aca="false">D41+D46</f>
        <v>57043.4968</v>
      </c>
      <c r="E47" s="61" t="n">
        <f aca="false">E41+E46</f>
        <v>56788.02</v>
      </c>
      <c r="F47" s="132" t="n">
        <f aca="false">D47-C47</f>
        <v>7147.51680000001</v>
      </c>
      <c r="G47" s="132" t="n">
        <f aca="false">E47-C47</f>
        <v>6892.04</v>
      </c>
      <c r="H47" s="3"/>
      <c r="I47" s="3"/>
      <c r="J47" s="3"/>
      <c r="K47" s="3"/>
      <c r="L47" s="3"/>
      <c r="M47" s="3"/>
      <c r="N47" s="3"/>
      <c r="O47" s="3"/>
      <c r="P47" s="3"/>
    </row>
    <row r="48" customFormat="false" ht="13.5" hidden="false" customHeight="true" outlineLevel="0" collapsed="false">
      <c r="A48" s="27" t="s">
        <v>496</v>
      </c>
      <c r="B48" s="3"/>
      <c r="C48" s="35" t="n">
        <f aca="false">-Assumptions!$B$63</f>
        <v>-29700</v>
      </c>
      <c r="D48" s="35" t="n">
        <f aca="false">-Assumptions!$B$63</f>
        <v>-29700</v>
      </c>
      <c r="E48" s="35" t="n">
        <f aca="false">-Assumptions!$B$63</f>
        <v>-29700</v>
      </c>
      <c r="F48" s="63" t="n">
        <f aca="false">D48-C48</f>
        <v>0</v>
      </c>
      <c r="G48" s="63" t="n">
        <f aca="false">E48-C48</f>
        <v>0</v>
      </c>
      <c r="H48" s="3"/>
      <c r="I48" s="3"/>
      <c r="J48" s="3"/>
      <c r="K48" s="3"/>
      <c r="L48" s="3"/>
      <c r="M48" s="3"/>
      <c r="N48" s="3"/>
      <c r="O48" s="3"/>
      <c r="P48" s="3"/>
    </row>
    <row r="49" customFormat="false" ht="16.5" hidden="false" customHeight="true" outlineLevel="0" collapsed="false">
      <c r="A49" s="89" t="s">
        <v>497</v>
      </c>
      <c r="B49" s="90"/>
      <c r="C49" s="61" t="n">
        <f aca="false">C47+C48</f>
        <v>20195.98</v>
      </c>
      <c r="D49" s="61" t="n">
        <f aca="false">D47+D48</f>
        <v>27343.4968</v>
      </c>
      <c r="E49" s="61" t="n">
        <f aca="false">E47+E48</f>
        <v>27088.02</v>
      </c>
      <c r="F49" s="132" t="n">
        <f aca="false">D49-C49</f>
        <v>7147.51680000001</v>
      </c>
      <c r="G49" s="132" t="n">
        <f aca="false">E49-C49</f>
        <v>6892.04</v>
      </c>
      <c r="H49" s="3"/>
      <c r="I49" s="3"/>
      <c r="J49" s="3"/>
      <c r="K49" s="3"/>
      <c r="L49" s="3"/>
      <c r="M49" s="3"/>
      <c r="N49" s="3"/>
      <c r="O49" s="3"/>
      <c r="P49" s="3"/>
    </row>
    <row r="50" customFormat="false" ht="15" hidden="false" customHeight="true" outlineLevel="0" collapsed="false">
      <c r="A50" s="27" t="s">
        <v>369</v>
      </c>
      <c r="B50" s="3"/>
      <c r="C50" s="93" t="n">
        <f aca="false">IFERROR(C49/C28,0)</f>
        <v>0.0880305989015779</v>
      </c>
      <c r="D50" s="93" t="n">
        <f aca="false">IFERROR(D49/D28,0)</f>
        <v>0.115835180923784</v>
      </c>
      <c r="E50" s="93" t="n">
        <f aca="false">IFERROR(E49/E28,0)</f>
        <v>0.161835464213168</v>
      </c>
      <c r="F50" s="133" t="n">
        <f aca="false">D50-C50</f>
        <v>0.0278045820222061</v>
      </c>
      <c r="G50" s="133" t="n">
        <f aca="false">E50-C50</f>
        <v>0.0738048653115898</v>
      </c>
      <c r="H50" s="3"/>
      <c r="I50" s="3"/>
      <c r="J50" s="3"/>
      <c r="K50" s="3"/>
      <c r="L50" s="3"/>
      <c r="M50" s="3"/>
      <c r="N50" s="3"/>
      <c r="O50" s="3"/>
      <c r="P50" s="3"/>
    </row>
    <row r="51" customFormat="false" ht="6" hidden="false" customHeight="true" outlineLevel="0" collapsed="false">
      <c r="A51" s="3"/>
      <c r="B51" s="3"/>
      <c r="C51" s="3"/>
      <c r="D51" s="3"/>
      <c r="E51" s="3"/>
      <c r="F51" s="3"/>
      <c r="G51" s="3"/>
      <c r="H51" s="3"/>
      <c r="I51" s="3"/>
      <c r="J51" s="3"/>
      <c r="K51" s="3"/>
      <c r="L51" s="3"/>
      <c r="M51" s="3"/>
      <c r="N51" s="3"/>
      <c r="O51" s="3"/>
      <c r="P51" s="3"/>
    </row>
    <row r="52" customFormat="false" ht="15" hidden="false" customHeight="true" outlineLevel="0" collapsed="false">
      <c r="A52" s="27" t="s">
        <v>498</v>
      </c>
      <c r="B52" s="3"/>
      <c r="C52" s="35" t="n">
        <f aca="false">IFERROR(-C44/C32,0)</f>
        <v>84828.2442748092</v>
      </c>
      <c r="D52" s="35" t="n">
        <f aca="false">IFERROR(-D44/D32,0)</f>
        <v>77762.5231910946</v>
      </c>
      <c r="E52" s="35" t="n">
        <f aca="false">IFERROR(-E44/E32,0)</f>
        <v>0</v>
      </c>
      <c r="F52" s="3"/>
      <c r="G52" s="3"/>
      <c r="H52" s="3"/>
      <c r="I52" s="3"/>
      <c r="J52" s="3"/>
      <c r="K52" s="3"/>
      <c r="L52" s="3"/>
      <c r="M52" s="3"/>
      <c r="N52" s="3"/>
      <c r="O52" s="3"/>
      <c r="P52" s="3"/>
    </row>
    <row r="53" customFormat="false" ht="15" hidden="false" customHeight="true" outlineLevel="0" collapsed="false">
      <c r="A53" s="27" t="s">
        <v>499</v>
      </c>
      <c r="B53" s="3"/>
      <c r="C53" s="93" t="n">
        <f aca="false">IFERROR(C24/C52-1,0)</f>
        <v>-0.0248530933633297</v>
      </c>
      <c r="D53" s="93" t="n">
        <f aca="false">IFERROR(D24/D52-1,0)</f>
        <v>0.127576580617455</v>
      </c>
      <c r="E53" s="93" t="n">
        <f aca="false">IFERROR(E24/E52-1,0)</f>
        <v>0</v>
      </c>
      <c r="F53" s="3"/>
      <c r="G53" s="3"/>
      <c r="H53" s="3"/>
      <c r="I53" s="23" t="s">
        <v>500</v>
      </c>
      <c r="J53" s="3"/>
      <c r="K53" s="3"/>
      <c r="L53" s="3"/>
      <c r="M53" s="3"/>
      <c r="N53" s="3"/>
      <c r="O53" s="3"/>
      <c r="P53" s="3"/>
    </row>
    <row r="54" customFormat="false" ht="15" hidden="false" customHeight="true" outlineLevel="0" collapsed="false">
      <c r="A54" s="3"/>
      <c r="B54" s="3"/>
      <c r="C54" s="3"/>
      <c r="D54" s="3"/>
      <c r="E54" s="3"/>
      <c r="F54" s="3"/>
      <c r="G54" s="3"/>
      <c r="H54" s="3"/>
      <c r="I54" s="3"/>
      <c r="J54" s="3"/>
      <c r="K54" s="3"/>
      <c r="L54" s="3"/>
      <c r="M54" s="3"/>
      <c r="N54" s="3"/>
      <c r="O54" s="3"/>
      <c r="P54" s="3"/>
    </row>
    <row r="55" customFormat="false" ht="18" hidden="false" customHeight="true" outlineLevel="0" collapsed="false">
      <c r="A55" s="14" t="s">
        <v>501</v>
      </c>
      <c r="B55" s="14"/>
      <c r="C55" s="14"/>
      <c r="D55" s="14"/>
      <c r="E55" s="14"/>
      <c r="F55" s="14"/>
      <c r="G55" s="14"/>
      <c r="H55" s="14"/>
      <c r="I55" s="14"/>
      <c r="J55" s="14"/>
      <c r="K55" s="14"/>
      <c r="L55" s="14"/>
      <c r="M55" s="14"/>
      <c r="N55" s="14"/>
      <c r="O55" s="14"/>
      <c r="P55" s="14"/>
    </row>
    <row r="56" customFormat="false" ht="31.5" hidden="false" customHeight="true" outlineLevel="0" collapsed="false">
      <c r="A56" s="85" t="s">
        <v>502</v>
      </c>
      <c r="B56" s="85"/>
      <c r="C56" s="53" t="s">
        <v>448</v>
      </c>
      <c r="D56" s="128" t="s">
        <v>449</v>
      </c>
      <c r="E56" s="129" t="s">
        <v>450</v>
      </c>
      <c r="F56" s="53" t="s">
        <v>478</v>
      </c>
      <c r="G56" s="53" t="s">
        <v>479</v>
      </c>
      <c r="H56" s="53"/>
      <c r="I56" s="53"/>
      <c r="J56" s="53"/>
      <c r="K56" s="53"/>
      <c r="L56" s="53"/>
      <c r="M56" s="53"/>
      <c r="N56" s="53"/>
      <c r="O56" s="53"/>
      <c r="P56" s="53"/>
    </row>
    <row r="57" customFormat="false" ht="15" hidden="false" customHeight="true" outlineLevel="0" collapsed="false">
      <c r="A57" s="27" t="s">
        <v>503</v>
      </c>
      <c r="B57" s="3"/>
      <c r="C57" s="35" t="n">
        <f aca="false">P90</f>
        <v>747630.46</v>
      </c>
      <c r="D57" s="35" t="n">
        <f aca="false">P123</f>
        <v>768487.5816</v>
      </c>
      <c r="E57" s="35" t="n">
        <f aca="false">P156</f>
        <v>615535.315</v>
      </c>
      <c r="F57" s="63" t="n">
        <f aca="false">D57-C57</f>
        <v>20857.1216</v>
      </c>
      <c r="G57" s="63" t="n">
        <f aca="false">E57-C57</f>
        <v>-132095.145</v>
      </c>
      <c r="H57" s="3"/>
      <c r="I57" s="3"/>
      <c r="J57" s="3"/>
      <c r="K57" s="3"/>
      <c r="L57" s="3"/>
      <c r="M57" s="3"/>
      <c r="N57" s="3"/>
      <c r="O57" s="3"/>
      <c r="P57" s="3"/>
    </row>
    <row r="58" customFormat="false" ht="15" hidden="false" customHeight="true" outlineLevel="0" collapsed="false">
      <c r="A58" s="27" t="s">
        <v>504</v>
      </c>
      <c r="B58" s="3"/>
      <c r="C58" s="35" t="n">
        <f aca="false">P97</f>
        <v>713689.4816</v>
      </c>
      <c r="D58" s="35" t="n">
        <f aca="false">P130</f>
        <v>734364.570496</v>
      </c>
      <c r="E58" s="35" t="n">
        <f aca="false">P163</f>
        <v>624518.8595</v>
      </c>
      <c r="F58" s="63" t="n">
        <f aca="false">D58-C58</f>
        <v>20675.0888959998</v>
      </c>
      <c r="G58" s="63" t="n">
        <f aca="false">E58-C58</f>
        <v>-89170.6221</v>
      </c>
      <c r="H58" s="3"/>
      <c r="I58" s="3"/>
      <c r="J58" s="3"/>
      <c r="K58" s="3"/>
      <c r="L58" s="3"/>
      <c r="M58" s="3"/>
      <c r="N58" s="3"/>
      <c r="O58" s="3"/>
      <c r="P58" s="3"/>
    </row>
    <row r="59" customFormat="false" ht="15" hidden="false" customHeight="true" outlineLevel="0" collapsed="false">
      <c r="A59" s="27" t="s">
        <v>505</v>
      </c>
      <c r="B59" s="3"/>
      <c r="C59" s="35" t="n">
        <f aca="false">P108</f>
        <v>779039.265076</v>
      </c>
      <c r="D59" s="35" t="n">
        <f aca="false">P141</f>
        <v>776062.93063424</v>
      </c>
      <c r="E59" s="35" t="n">
        <f aca="false">P174</f>
        <v>701036.282709</v>
      </c>
      <c r="F59" s="63" t="n">
        <f aca="false">D59-C59</f>
        <v>-2976.33444175997</v>
      </c>
      <c r="G59" s="63" t="n">
        <f aca="false">E59-C59</f>
        <v>-78002.9823670001</v>
      </c>
      <c r="H59" s="3"/>
      <c r="I59" s="3"/>
      <c r="J59" s="3"/>
      <c r="K59" s="3"/>
      <c r="L59" s="3"/>
      <c r="M59" s="3"/>
      <c r="N59" s="3"/>
      <c r="O59" s="3"/>
      <c r="P59" s="3"/>
    </row>
    <row r="60" customFormat="false" ht="16.5" hidden="false" customHeight="true" outlineLevel="0" collapsed="false">
      <c r="A60" s="89" t="s">
        <v>506</v>
      </c>
      <c r="B60" s="90"/>
      <c r="C60" s="61" t="n">
        <f aca="false">P109</f>
        <v>-65349.783476</v>
      </c>
      <c r="D60" s="61" t="n">
        <f aca="false">P142</f>
        <v>-41698.36013824</v>
      </c>
      <c r="E60" s="61" t="n">
        <f aca="false">P175</f>
        <v>-76517.423209</v>
      </c>
      <c r="F60" s="132" t="n">
        <f aca="false">D60-C60</f>
        <v>23651.42333776</v>
      </c>
      <c r="G60" s="132" t="n">
        <f aca="false">E60-C60</f>
        <v>-11167.639733</v>
      </c>
      <c r="H60" s="3"/>
      <c r="I60" s="3"/>
      <c r="J60" s="3"/>
      <c r="K60" s="3"/>
      <c r="L60" s="3"/>
      <c r="M60" s="3"/>
      <c r="N60" s="3"/>
      <c r="O60" s="3"/>
      <c r="P60" s="3"/>
    </row>
    <row r="61" customFormat="false" ht="15" hidden="false" customHeight="true" outlineLevel="0" collapsed="false">
      <c r="A61" s="27" t="s">
        <v>507</v>
      </c>
      <c r="B61" s="3"/>
      <c r="C61" s="35" t="n">
        <f aca="false">C110</f>
        <v>205000</v>
      </c>
      <c r="D61" s="35" t="n">
        <f aca="false">C143</f>
        <v>205000</v>
      </c>
      <c r="E61" s="35" t="n">
        <f aca="false">C176</f>
        <v>205000</v>
      </c>
      <c r="F61" s="3"/>
      <c r="G61" s="3"/>
      <c r="H61" s="3"/>
      <c r="I61" s="3"/>
      <c r="J61" s="3"/>
      <c r="K61" s="3"/>
      <c r="L61" s="3"/>
      <c r="M61" s="3"/>
      <c r="N61" s="3"/>
      <c r="O61" s="3"/>
      <c r="P61" s="3"/>
    </row>
    <row r="62" customFormat="false" ht="16.5" hidden="false" customHeight="true" outlineLevel="0" collapsed="false">
      <c r="A62" s="89" t="s">
        <v>508</v>
      </c>
      <c r="B62" s="90"/>
      <c r="C62" s="61" t="n">
        <f aca="false">O111</f>
        <v>139650.216524</v>
      </c>
      <c r="D62" s="61" t="n">
        <f aca="false">O144</f>
        <v>163301.63986176</v>
      </c>
      <c r="E62" s="61" t="n">
        <f aca="false">O177</f>
        <v>128482.576791</v>
      </c>
      <c r="F62" s="132" t="n">
        <f aca="false">D62-C62</f>
        <v>23651.42333776</v>
      </c>
      <c r="G62" s="132" t="n">
        <f aca="false">E62-C62</f>
        <v>-11167.639733</v>
      </c>
      <c r="H62" s="3"/>
      <c r="I62" s="3"/>
      <c r="J62" s="3"/>
      <c r="K62" s="3"/>
      <c r="L62" s="3"/>
      <c r="M62" s="3"/>
      <c r="N62" s="3"/>
      <c r="O62" s="3"/>
      <c r="P62" s="3"/>
    </row>
    <row r="63" customFormat="false" ht="16.5" hidden="false" customHeight="true" outlineLevel="0" collapsed="false">
      <c r="A63" s="89" t="s">
        <v>305</v>
      </c>
      <c r="B63" s="90"/>
      <c r="C63" s="61" t="n">
        <f aca="false">MIN(C111:O111)</f>
        <v>114528.4346</v>
      </c>
      <c r="D63" s="61" t="n">
        <f aca="false">MIN(C144:O144)</f>
        <v>130288.226449</v>
      </c>
      <c r="E63" s="61" t="n">
        <f aca="false">MIN(C177:O177)</f>
        <v>97330.402783</v>
      </c>
      <c r="F63" s="132" t="n">
        <f aca="false">D63-C63</f>
        <v>15759.791849</v>
      </c>
      <c r="G63" s="132" t="n">
        <f aca="false">E63-C63</f>
        <v>-17198.031817</v>
      </c>
      <c r="H63" s="3"/>
      <c r="I63" s="3"/>
      <c r="J63" s="3"/>
      <c r="K63" s="3"/>
      <c r="L63" s="3"/>
      <c r="M63" s="3"/>
      <c r="N63" s="3"/>
      <c r="O63" s="3"/>
      <c r="P63" s="3"/>
    </row>
    <row r="64" customFormat="false" ht="15" hidden="false" customHeight="true" outlineLevel="0" collapsed="false">
      <c r="A64" s="27" t="s">
        <v>306</v>
      </c>
      <c r="B64" s="3"/>
      <c r="C64" s="135" t="n">
        <f aca="false">MATCH(MIN(C111:O111),C111:O111,0)</f>
        <v>9</v>
      </c>
      <c r="D64" s="135" t="n">
        <f aca="false">MATCH(MIN(C144:O144),C144:O144,0)</f>
        <v>9</v>
      </c>
      <c r="E64" s="135" t="n">
        <f aca="false">MATCH(MIN(C177:O177),C177:O177,0)</f>
        <v>11</v>
      </c>
      <c r="F64" s="3"/>
      <c r="G64" s="3"/>
      <c r="H64" s="3"/>
      <c r="I64" s="3"/>
      <c r="J64" s="3"/>
      <c r="K64" s="3"/>
      <c r="L64" s="3"/>
      <c r="M64" s="3"/>
      <c r="N64" s="3"/>
      <c r="O64" s="3"/>
      <c r="P64" s="3"/>
    </row>
    <row r="65" customFormat="false" ht="15" hidden="false" customHeight="true" outlineLevel="0" collapsed="false">
      <c r="A65" s="27" t="s">
        <v>308</v>
      </c>
      <c r="B65" s="3"/>
      <c r="C65" s="35" t="n">
        <f aca="false">MIN(C112:O112)</f>
        <v>-5471.56540000002</v>
      </c>
      <c r="D65" s="35" t="n">
        <f aca="false">MIN(C145:O145)</f>
        <v>10288.226449</v>
      </c>
      <c r="E65" s="35" t="n">
        <f aca="false">MIN(C178:O178)</f>
        <v>-22669.597217</v>
      </c>
      <c r="F65" s="63" t="n">
        <f aca="false">D65-C65</f>
        <v>15759.791849</v>
      </c>
      <c r="G65" s="63" t="n">
        <f aca="false">E65-C65</f>
        <v>-17198.031817</v>
      </c>
      <c r="H65" s="3"/>
      <c r="I65" s="3"/>
      <c r="J65" s="3"/>
      <c r="K65" s="3"/>
      <c r="L65" s="3"/>
      <c r="M65" s="3"/>
      <c r="N65" s="3"/>
      <c r="O65" s="3"/>
      <c r="P65" s="3"/>
    </row>
    <row r="66" customFormat="false" ht="15" hidden="false" customHeight="true" outlineLevel="0" collapsed="false">
      <c r="A66" s="27" t="s">
        <v>309</v>
      </c>
      <c r="B66" s="3"/>
      <c r="C66" s="135" t="n">
        <f aca="false">COUNTIF(C112:O112,"&lt;0")</f>
        <v>1</v>
      </c>
      <c r="D66" s="135" t="n">
        <f aca="false">COUNTIF(C145:O145,"&lt;0")</f>
        <v>0</v>
      </c>
      <c r="E66" s="135" t="n">
        <f aca="false">COUNTIF(C178:O178,"&lt;0")</f>
        <v>4</v>
      </c>
      <c r="F66" s="3"/>
      <c r="G66" s="3"/>
      <c r="H66" s="3"/>
      <c r="I66" s="3"/>
      <c r="J66" s="3"/>
      <c r="K66" s="3"/>
      <c r="L66" s="3"/>
      <c r="M66" s="3"/>
      <c r="N66" s="3"/>
      <c r="O66" s="3"/>
      <c r="P66" s="3"/>
    </row>
    <row r="67" customFormat="false" ht="15" hidden="false" customHeight="true" outlineLevel="0" collapsed="false">
      <c r="A67" s="27" t="s">
        <v>303</v>
      </c>
      <c r="B67" s="3"/>
      <c r="C67" s="35" t="n">
        <f aca="false">P109/13</f>
        <v>-5026.90642123077</v>
      </c>
      <c r="D67" s="35" t="n">
        <f aca="false">P142/13</f>
        <v>-3207.56616448</v>
      </c>
      <c r="E67" s="35" t="n">
        <f aca="false">P175/13</f>
        <v>-5885.95563146154</v>
      </c>
      <c r="F67" s="63" t="n">
        <f aca="false">D67-C67</f>
        <v>1819.34025675077</v>
      </c>
      <c r="G67" s="63" t="n">
        <f aca="false">E67-C67</f>
        <v>-859.049210230768</v>
      </c>
      <c r="H67" s="3"/>
      <c r="I67" s="3"/>
      <c r="J67" s="3"/>
      <c r="K67" s="3"/>
      <c r="L67" s="3"/>
      <c r="M67" s="3"/>
      <c r="N67" s="3"/>
      <c r="O67" s="3"/>
      <c r="P67" s="3"/>
    </row>
    <row r="68" customFormat="false" ht="15" hidden="false" customHeight="true" outlineLevel="0" collapsed="false">
      <c r="A68" s="27" t="s">
        <v>509</v>
      </c>
      <c r="B68" s="3"/>
      <c r="C68" s="136" t="n">
        <f aca="false">IF(C67&lt;0,-O111/C67,"n/a - cash generative")</f>
        <v>27.7805482780021</v>
      </c>
      <c r="D68" s="136" t="n">
        <f aca="false">IF(D67&lt;0,-O144/D67,"n/a - cash generative")</f>
        <v>50.9113862311345</v>
      </c>
      <c r="E68" s="136" t="n">
        <f aca="false">IF(E67&lt;0,-O177/E67,"n/a - cash generative")</f>
        <v>21.8286689257793</v>
      </c>
      <c r="F68" s="3"/>
      <c r="G68" s="3"/>
      <c r="H68" s="3"/>
      <c r="I68" s="3"/>
      <c r="J68" s="3"/>
      <c r="K68" s="3"/>
      <c r="L68" s="3"/>
      <c r="M68" s="3"/>
      <c r="N68" s="3"/>
      <c r="O68" s="3"/>
      <c r="P68" s="3"/>
    </row>
    <row r="69" customFormat="false" ht="15" hidden="false" customHeight="true" outlineLevel="0" collapsed="false">
      <c r="A69" s="3"/>
      <c r="B69" s="3"/>
      <c r="C69" s="3"/>
      <c r="D69" s="3"/>
      <c r="E69" s="3"/>
      <c r="F69" s="3"/>
      <c r="G69" s="3"/>
      <c r="H69" s="3"/>
      <c r="I69" s="3"/>
      <c r="J69" s="3"/>
      <c r="K69" s="3"/>
      <c r="L69" s="3"/>
      <c r="M69" s="3"/>
      <c r="N69" s="3"/>
      <c r="O69" s="3"/>
      <c r="P69" s="3"/>
    </row>
    <row r="70" customFormat="false" ht="18" hidden="false" customHeight="true" outlineLevel="0" collapsed="false">
      <c r="A70" s="14" t="s">
        <v>510</v>
      </c>
      <c r="B70" s="14"/>
      <c r="C70" s="14"/>
      <c r="D70" s="14"/>
      <c r="E70" s="14"/>
      <c r="F70" s="14"/>
      <c r="G70" s="14"/>
      <c r="H70" s="14"/>
      <c r="I70" s="14"/>
      <c r="J70" s="14"/>
      <c r="K70" s="14"/>
      <c r="L70" s="14"/>
      <c r="M70" s="14"/>
      <c r="N70" s="14"/>
      <c r="O70" s="14"/>
      <c r="P70" s="14"/>
    </row>
    <row r="71" customFormat="false" ht="15.75" hidden="false" customHeight="true" outlineLevel="0" collapsed="false">
      <c r="A71" s="15" t="s">
        <v>511</v>
      </c>
      <c r="B71" s="3"/>
      <c r="C71" s="3"/>
      <c r="D71" s="3"/>
      <c r="E71" s="137" t="n">
        <f aca="false">IFERROR(($C$49-($E$33*'Channel Profitability'!$D$54+$E$39+$E$40+$E$45+$E$48))/($E$33*'Channel Profitability'!$C$54),0)</f>
        <v>0.0358156857090291</v>
      </c>
      <c r="F71" s="3"/>
      <c r="G71" s="23" t="s">
        <v>512</v>
      </c>
      <c r="H71" s="3"/>
      <c r="I71" s="3"/>
      <c r="J71" s="3"/>
      <c r="K71" s="3"/>
      <c r="L71" s="3"/>
      <c r="M71" s="3"/>
      <c r="N71" s="3"/>
      <c r="O71" s="3"/>
      <c r="P71" s="3"/>
    </row>
    <row r="72" customFormat="false" ht="15.75" hidden="false" customHeight="true" outlineLevel="0" collapsed="false">
      <c r="A72" s="15" t="s">
        <v>513</v>
      </c>
      <c r="B72" s="3"/>
      <c r="C72" s="3"/>
      <c r="D72" s="3"/>
      <c r="E72" s="137" t="n">
        <f aca="false">IFERROR(($D$49-($E$33*'Channel Profitability'!$D$54+$E$39+$E$40+$E$45+$E$48))/($E$33*'Channel Profitability'!$C$54),0)</f>
        <v>0.257939466866886</v>
      </c>
      <c r="F72" s="3"/>
      <c r="G72" s="23" t="s">
        <v>514</v>
      </c>
      <c r="H72" s="3"/>
      <c r="I72" s="3"/>
      <c r="J72" s="3"/>
      <c r="K72" s="3"/>
      <c r="L72" s="3"/>
      <c r="M72" s="3"/>
      <c r="N72" s="3"/>
      <c r="O72" s="3"/>
      <c r="P72" s="3"/>
    </row>
    <row r="73" customFormat="false" ht="15.75" hidden="false" customHeight="true" outlineLevel="0" collapsed="false">
      <c r="A73" s="27" t="s">
        <v>515</v>
      </c>
      <c r="B73" s="3"/>
      <c r="C73" s="138"/>
      <c r="D73" s="3"/>
      <c r="E73" s="139" t="n">
        <f aca="false">$C$52</f>
        <v>84828.2442748092</v>
      </c>
      <c r="F73" s="3"/>
      <c r="G73" s="3"/>
      <c r="H73" s="3"/>
      <c r="I73" s="3"/>
      <c r="J73" s="3"/>
      <c r="K73" s="3"/>
      <c r="L73" s="3"/>
      <c r="M73" s="3"/>
      <c r="N73" s="3"/>
      <c r="O73" s="3"/>
      <c r="P73" s="3"/>
    </row>
    <row r="74" customFormat="false" ht="15.75" hidden="false" customHeight="true" outlineLevel="0" collapsed="false">
      <c r="A74" s="27" t="s">
        <v>516</v>
      </c>
      <c r="B74" s="3"/>
      <c r="C74" s="3"/>
      <c r="D74" s="138"/>
      <c r="E74" s="139" t="n">
        <f aca="false">$D$52</f>
        <v>77762.5231910946</v>
      </c>
      <c r="F74" s="3"/>
      <c r="G74" s="3"/>
      <c r="H74" s="3"/>
      <c r="I74" s="3"/>
      <c r="J74" s="3"/>
      <c r="K74" s="3"/>
      <c r="L74" s="3"/>
      <c r="M74" s="3"/>
      <c r="N74" s="3"/>
      <c r="O74" s="3"/>
      <c r="P74" s="3"/>
    </row>
    <row r="75" customFormat="false" ht="15.75" hidden="false" customHeight="true" outlineLevel="0" collapsed="false">
      <c r="A75" s="27" t="s">
        <v>517</v>
      </c>
      <c r="B75" s="3"/>
      <c r="C75" s="3"/>
      <c r="D75" s="3"/>
      <c r="E75" s="139" t="n">
        <f aca="false">$E$14-$E$18</f>
        <v>54000</v>
      </c>
      <c r="F75" s="3"/>
      <c r="G75" s="3"/>
      <c r="H75" s="3"/>
      <c r="I75" s="3"/>
      <c r="J75" s="3"/>
      <c r="K75" s="3"/>
      <c r="L75" s="3"/>
      <c r="M75" s="3"/>
      <c r="N75" s="3"/>
      <c r="O75" s="3"/>
      <c r="P75" s="3"/>
    </row>
    <row r="76" customFormat="false" ht="15.75" hidden="false" customHeight="true" outlineLevel="0" collapsed="false">
      <c r="A76" s="27" t="s">
        <v>518</v>
      </c>
      <c r="B76" s="3"/>
      <c r="C76" s="3"/>
      <c r="D76" s="3"/>
      <c r="E76" s="139" t="n">
        <f aca="false">$E$49-$C$49</f>
        <v>6892.04</v>
      </c>
      <c r="F76" s="3"/>
      <c r="G76" s="3"/>
      <c r="H76" s="3"/>
      <c r="I76" s="3"/>
      <c r="J76" s="3"/>
      <c r="K76" s="3"/>
      <c r="L76" s="3"/>
      <c r="M76" s="3"/>
      <c r="N76" s="3"/>
      <c r="O76" s="3"/>
      <c r="P76" s="3"/>
    </row>
    <row r="77" customFormat="false" ht="15.75" hidden="false" customHeight="true" outlineLevel="0" collapsed="false">
      <c r="A77" s="27" t="s">
        <v>519</v>
      </c>
      <c r="B77" s="3"/>
      <c r="C77" s="3"/>
      <c r="D77" s="3"/>
      <c r="E77" s="140" t="n">
        <f aca="false">IF(E76&lt;=0,"no payback",IFERROR(E75/E76,"n/a"))</f>
        <v>7.83512573925862</v>
      </c>
      <c r="F77" s="3"/>
      <c r="G77" s="3"/>
      <c r="H77" s="3"/>
      <c r="I77" s="3"/>
      <c r="J77" s="3"/>
      <c r="K77" s="3"/>
      <c r="L77" s="3"/>
      <c r="M77" s="3"/>
      <c r="N77" s="3"/>
      <c r="O77" s="3"/>
      <c r="P77" s="3"/>
    </row>
    <row r="78" customFormat="false" ht="15" hidden="false" customHeight="true" outlineLevel="0" collapsed="false">
      <c r="A78" s="3"/>
      <c r="B78" s="3"/>
      <c r="C78" s="3"/>
      <c r="D78" s="3"/>
      <c r="E78" s="3"/>
      <c r="F78" s="3"/>
      <c r="G78" s="3"/>
      <c r="H78" s="3"/>
      <c r="I78" s="3"/>
      <c r="J78" s="3"/>
      <c r="K78" s="3"/>
      <c r="L78" s="3"/>
      <c r="M78" s="3"/>
      <c r="N78" s="3"/>
      <c r="O78" s="3"/>
      <c r="P78" s="3"/>
    </row>
    <row r="79" customFormat="false" ht="39.75" hidden="false" customHeight="true" outlineLevel="0" collapsed="false">
      <c r="A79" s="105" t="s">
        <v>520</v>
      </c>
      <c r="B79" s="105"/>
      <c r="C79" s="105"/>
      <c r="D79" s="105"/>
      <c r="E79" s="105"/>
      <c r="F79" s="105"/>
      <c r="G79" s="105"/>
      <c r="H79" s="105"/>
      <c r="I79" s="105"/>
      <c r="J79" s="105"/>
      <c r="K79" s="105"/>
      <c r="L79" s="105"/>
      <c r="M79" s="105"/>
      <c r="N79" s="105"/>
      <c r="O79" s="105"/>
      <c r="P79" s="3"/>
    </row>
    <row r="80" customFormat="false" ht="15" hidden="false" customHeight="true" outlineLevel="0" collapsed="false">
      <c r="A80" s="3"/>
      <c r="B80" s="3"/>
      <c r="C80" s="3"/>
      <c r="D80" s="3"/>
      <c r="E80" s="3"/>
      <c r="F80" s="3"/>
      <c r="G80" s="3"/>
      <c r="H80" s="3"/>
      <c r="I80" s="3"/>
      <c r="J80" s="3"/>
      <c r="K80" s="3"/>
      <c r="L80" s="3"/>
      <c r="M80" s="3"/>
      <c r="N80" s="3"/>
      <c r="O80" s="3"/>
      <c r="P80" s="3"/>
    </row>
    <row r="81" customFormat="false" ht="15" hidden="false" customHeight="true" outlineLevel="0" collapsed="false">
      <c r="A81" s="3"/>
      <c r="B81" s="3"/>
      <c r="C81" s="3"/>
      <c r="D81" s="3"/>
      <c r="E81" s="3"/>
      <c r="F81" s="3"/>
      <c r="G81" s="3"/>
      <c r="H81" s="3"/>
      <c r="I81" s="3"/>
      <c r="J81" s="3"/>
      <c r="K81" s="3"/>
      <c r="L81" s="3"/>
      <c r="M81" s="3"/>
      <c r="N81" s="3"/>
      <c r="O81" s="3"/>
      <c r="P81" s="3"/>
    </row>
    <row r="82" customFormat="false" ht="18" hidden="false" customHeight="true" outlineLevel="0" collapsed="false">
      <c r="A82" s="14" t="s">
        <v>521</v>
      </c>
      <c r="B82" s="14"/>
      <c r="C82" s="14"/>
      <c r="D82" s="14"/>
      <c r="E82" s="14"/>
      <c r="F82" s="14"/>
      <c r="G82" s="14"/>
      <c r="H82" s="14"/>
      <c r="I82" s="14"/>
      <c r="J82" s="14"/>
      <c r="K82" s="14"/>
      <c r="L82" s="14"/>
      <c r="M82" s="14"/>
      <c r="N82" s="14"/>
      <c r="O82" s="14"/>
      <c r="P82" s="14"/>
    </row>
    <row r="83" customFormat="false" ht="21.75" hidden="false" customHeight="true" outlineLevel="0" collapsed="false">
      <c r="A83" s="141" t="s">
        <v>77</v>
      </c>
      <c r="B83" s="141" t="s">
        <v>196</v>
      </c>
      <c r="C83" s="142" t="s">
        <v>198</v>
      </c>
      <c r="D83" s="142" t="s">
        <v>199</v>
      </c>
      <c r="E83" s="142" t="s">
        <v>200</v>
      </c>
      <c r="F83" s="142" t="s">
        <v>201</v>
      </c>
      <c r="G83" s="142" t="s">
        <v>202</v>
      </c>
      <c r="H83" s="142" t="s">
        <v>203</v>
      </c>
      <c r="I83" s="142" t="s">
        <v>204</v>
      </c>
      <c r="J83" s="142" t="s">
        <v>205</v>
      </c>
      <c r="K83" s="142" t="s">
        <v>206</v>
      </c>
      <c r="L83" s="142" t="s">
        <v>207</v>
      </c>
      <c r="M83" s="142" t="s">
        <v>208</v>
      </c>
      <c r="N83" s="142" t="s">
        <v>209</v>
      </c>
      <c r="O83" s="142" t="s">
        <v>210</v>
      </c>
      <c r="P83" s="143" t="s">
        <v>245</v>
      </c>
    </row>
    <row r="84" customFormat="false" ht="13.5" hidden="false" customHeight="true" outlineLevel="0" collapsed="false">
      <c r="A84" s="78" t="s">
        <v>247</v>
      </c>
      <c r="B84" s="23"/>
      <c r="C84" s="144" t="n">
        <f aca="false">'13W Cash Flow'!C$5</f>
        <v>1</v>
      </c>
      <c r="D84" s="144" t="n">
        <f aca="false">'13W Cash Flow'!D$5</f>
        <v>2</v>
      </c>
      <c r="E84" s="144" t="n">
        <f aca="false">'13W Cash Flow'!E$5</f>
        <v>3</v>
      </c>
      <c r="F84" s="144" t="n">
        <f aca="false">'13W Cash Flow'!F$5</f>
        <v>4</v>
      </c>
      <c r="G84" s="144" t="n">
        <f aca="false">'13W Cash Flow'!G$5</f>
        <v>5</v>
      </c>
      <c r="H84" s="144" t="n">
        <f aca="false">'13W Cash Flow'!H$5</f>
        <v>6</v>
      </c>
      <c r="I84" s="144" t="n">
        <f aca="false">'13W Cash Flow'!I$5</f>
        <v>7</v>
      </c>
      <c r="J84" s="144" t="n">
        <f aca="false">'13W Cash Flow'!J$5</f>
        <v>8</v>
      </c>
      <c r="K84" s="144" t="n">
        <f aca="false">'13W Cash Flow'!K$5</f>
        <v>9</v>
      </c>
      <c r="L84" s="144" t="n">
        <f aca="false">'13W Cash Flow'!L$5</f>
        <v>10</v>
      </c>
      <c r="M84" s="144" t="n">
        <f aca="false">'13W Cash Flow'!M$5</f>
        <v>11</v>
      </c>
      <c r="N84" s="144" t="n">
        <f aca="false">'13W Cash Flow'!N$5</f>
        <v>12</v>
      </c>
      <c r="O84" s="144" t="n">
        <f aca="false">'13W Cash Flow'!O$5</f>
        <v>13</v>
      </c>
      <c r="P84" s="3"/>
    </row>
    <row r="85" customFormat="false" ht="13.5" hidden="false" customHeight="true" outlineLevel="0" collapsed="false">
      <c r="A85" s="78" t="s">
        <v>522</v>
      </c>
      <c r="B85" s="62" t="s">
        <v>523</v>
      </c>
      <c r="C85" s="144" t="n">
        <f aca="false">IF(OR($C$13=0,C$84&lt;=$C$13),1,0)</f>
        <v>1</v>
      </c>
      <c r="D85" s="144" t="n">
        <f aca="false">IF(OR($C$13=0,D$84&lt;=$C$13),1,0)</f>
        <v>1</v>
      </c>
      <c r="E85" s="144" t="n">
        <f aca="false">IF(OR($C$13=0,E$84&lt;=$C$13),1,0)</f>
        <v>1</v>
      </c>
      <c r="F85" s="144" t="n">
        <f aca="false">IF(OR($C$13=0,F$84&lt;=$C$13),1,0)</f>
        <v>1</v>
      </c>
      <c r="G85" s="144" t="n">
        <f aca="false">IF(OR($C$13=0,G$84&lt;=$C$13),1,0)</f>
        <v>1</v>
      </c>
      <c r="H85" s="144" t="n">
        <f aca="false">IF(OR($C$13=0,H$84&lt;=$C$13),1,0)</f>
        <v>1</v>
      </c>
      <c r="I85" s="144" t="n">
        <f aca="false">IF(OR($C$13=0,I$84&lt;=$C$13),1,0)</f>
        <v>1</v>
      </c>
      <c r="J85" s="144" t="n">
        <f aca="false">IF(OR($C$13=0,J$84&lt;=$C$13),1,0)</f>
        <v>1</v>
      </c>
      <c r="K85" s="144" t="n">
        <f aca="false">IF(OR($C$13=0,K$84&lt;=$C$13),1,0)</f>
        <v>1</v>
      </c>
      <c r="L85" s="144" t="n">
        <f aca="false">IF(OR($C$13=0,L$84&lt;=$C$13),1,0)</f>
        <v>1</v>
      </c>
      <c r="M85" s="144" t="n">
        <f aca="false">IF(OR($C$13=0,M$84&lt;=$C$13),1,0)</f>
        <v>1</v>
      </c>
      <c r="N85" s="144" t="n">
        <f aca="false">IF(OR($C$13=0,N$84&lt;=$C$13),1,0)</f>
        <v>1</v>
      </c>
      <c r="O85" s="144" t="n">
        <f aca="false">IF(OR($C$13=0,O$84&lt;=$C$13),1,0)</f>
        <v>1</v>
      </c>
      <c r="P85" s="3"/>
    </row>
    <row r="86" customFormat="false" ht="13.5" hidden="false" customHeight="true" outlineLevel="0" collapsed="false">
      <c r="A86" s="78" t="s">
        <v>388</v>
      </c>
      <c r="B86" s="62" t="s">
        <v>524</v>
      </c>
      <c r="C86" s="83" t="n">
        <f aca="false">'13W Cash Flow'!C$72*(1+$C$6)*C85</f>
        <v>18127.9</v>
      </c>
      <c r="D86" s="83" t="n">
        <f aca="false">'13W Cash Flow'!D$72*(1+$C$6)*D85</f>
        <v>20608.56</v>
      </c>
      <c r="E86" s="83" t="n">
        <f aca="false">'13W Cash Flow'!E$72*(1+$C$6)*E85</f>
        <v>17555.44</v>
      </c>
      <c r="F86" s="83" t="n">
        <f aca="false">'13W Cash Flow'!F$72*(1+$C$6)*F85</f>
        <v>17173.8</v>
      </c>
      <c r="G86" s="83" t="n">
        <f aca="false">'13W Cash Flow'!G$72*(1+$C$6)*G85</f>
        <v>17746.26</v>
      </c>
      <c r="H86" s="83" t="n">
        <f aca="false">'13W Cash Flow'!H$72*(1+$C$6)*H85</f>
        <v>18509.54</v>
      </c>
      <c r="I86" s="83" t="n">
        <f aca="false">'13W Cash Flow'!I$72*(1+$C$6)*I85</f>
        <v>19082</v>
      </c>
      <c r="J86" s="83" t="n">
        <f aca="false">'13W Cash Flow'!J$72*(1+$C$6)*J85</f>
        <v>19463.64</v>
      </c>
      <c r="K86" s="83" t="n">
        <f aca="false">'13W Cash Flow'!K$72*(1+$C$6)*K85</f>
        <v>18700.36</v>
      </c>
      <c r="L86" s="83" t="n">
        <f aca="false">'13W Cash Flow'!L$72*(1+$C$6)*L85</f>
        <v>19654.46</v>
      </c>
      <c r="M86" s="83" t="n">
        <f aca="false">'13W Cash Flow'!M$72*(1+$C$6)*M85</f>
        <v>20226.92</v>
      </c>
      <c r="N86" s="83" t="n">
        <f aca="false">'13W Cash Flow'!N$72*(1+$C$6)*N85</f>
        <v>20990.2</v>
      </c>
      <c r="O86" s="83" t="n">
        <f aca="false">'13W Cash Flow'!O$72*(1+$C$6)*O85</f>
        <v>21753.48</v>
      </c>
      <c r="P86" s="83" t="n">
        <f aca="false">SUM(C86:O86)</f>
        <v>249592.56</v>
      </c>
    </row>
    <row r="87" customFormat="false" ht="13.5" hidden="false" customHeight="true" outlineLevel="0" collapsed="false">
      <c r="A87" s="78" t="s">
        <v>480</v>
      </c>
      <c r="B87" s="62" t="s">
        <v>525</v>
      </c>
      <c r="C87" s="83" t="n">
        <f aca="false">'13W Cash Flow'!C$73*(1+$C$10)+'13W Cash Flow'!C$72*(1-C85)*$C$11</f>
        <v>20913.2</v>
      </c>
      <c r="D87" s="83" t="n">
        <f aca="false">'13W Cash Flow'!D$73*(1+$C$10)+'13W Cash Flow'!D$72*(1-D85)*$C$11</f>
        <v>22638</v>
      </c>
      <c r="E87" s="83" t="n">
        <f aca="false">'13W Cash Flow'!E$73*(1+$C$10)+'13W Cash Flow'!E$72*(1-E85)*$C$11</f>
        <v>20697.6</v>
      </c>
      <c r="F87" s="83" t="n">
        <f aca="false">'13W Cash Flow'!F$73*(1+$C$10)+'13W Cash Flow'!F$72*(1-F85)*$C$11</f>
        <v>20482</v>
      </c>
      <c r="G87" s="83" t="n">
        <f aca="false">'13W Cash Flow'!G$73*(1+$C$10)+'13W Cash Flow'!G$72*(1-G85)*$C$11</f>
        <v>21344.4</v>
      </c>
      <c r="H87" s="83" t="n">
        <f aca="false">'13W Cash Flow'!H$73*(1+$C$10)+'13W Cash Flow'!H$72*(1-H85)*$C$11</f>
        <v>21991.2</v>
      </c>
      <c r="I87" s="83" t="n">
        <f aca="false">'13W Cash Flow'!I$73*(1+$C$10)+'13W Cash Flow'!I$72*(1-I85)*$C$11</f>
        <v>22422.4</v>
      </c>
      <c r="J87" s="83" t="n">
        <f aca="false">'13W Cash Flow'!J$73*(1+$C$10)+'13W Cash Flow'!J$72*(1-J85)*$C$11</f>
        <v>22853.6</v>
      </c>
      <c r="K87" s="83" t="n">
        <f aca="false">'13W Cash Flow'!K$73*(1+$C$10)+'13W Cash Flow'!K$72*(1-K85)*$C$11</f>
        <v>22638</v>
      </c>
      <c r="L87" s="83" t="n">
        <f aca="false">'13W Cash Flow'!L$73*(1+$C$10)+'13W Cash Flow'!L$72*(1-L85)*$C$11</f>
        <v>23284.8</v>
      </c>
      <c r="M87" s="83" t="n">
        <f aca="false">'13W Cash Flow'!M$73*(1+$C$10)+'13W Cash Flow'!M$72*(1-M85)*$C$11</f>
        <v>24147.2</v>
      </c>
      <c r="N87" s="83" t="n">
        <f aca="false">'13W Cash Flow'!N$73*(1+$C$10)+'13W Cash Flow'!N$72*(1-N85)*$C$11</f>
        <v>24794</v>
      </c>
      <c r="O87" s="83" t="n">
        <f aca="false">'13W Cash Flow'!O$73*(1+$C$10)+'13W Cash Flow'!O$72*(1-O85)*$C$11</f>
        <v>25872</v>
      </c>
      <c r="P87" s="83" t="n">
        <f aca="false">SUM(C87:O87)</f>
        <v>294078.4</v>
      </c>
    </row>
    <row r="88" customFormat="false" ht="13.5" hidden="false" customHeight="true" outlineLevel="0" collapsed="false">
      <c r="A88" s="78" t="s">
        <v>481</v>
      </c>
      <c r="B88" s="62" t="s">
        <v>526</v>
      </c>
      <c r="C88" s="83" t="n">
        <f aca="false">'13W Cash Flow'!C$74</f>
        <v>0</v>
      </c>
      <c r="D88" s="83" t="n">
        <f aca="false">'13W Cash Flow'!D$74</f>
        <v>23280</v>
      </c>
      <c r="E88" s="83" t="n">
        <f aca="false">'13W Cash Flow'!E$74</f>
        <v>0</v>
      </c>
      <c r="F88" s="83" t="n">
        <f aca="false">'13W Cash Flow'!F$74</f>
        <v>0</v>
      </c>
      <c r="G88" s="83" t="n">
        <f aca="false">'13W Cash Flow'!G$74</f>
        <v>0</v>
      </c>
      <c r="H88" s="83" t="n">
        <f aca="false">'13W Cash Flow'!H$74</f>
        <v>0</v>
      </c>
      <c r="I88" s="83" t="n">
        <f aca="false">'13W Cash Flow'!I$74</f>
        <v>18624</v>
      </c>
      <c r="J88" s="83" t="n">
        <f aca="false">'13W Cash Flow'!J$74</f>
        <v>0</v>
      </c>
      <c r="K88" s="83" t="n">
        <f aca="false">'13W Cash Flow'!K$74</f>
        <v>0</v>
      </c>
      <c r="L88" s="83" t="n">
        <f aca="false">'13W Cash Flow'!L$74</f>
        <v>0</v>
      </c>
      <c r="M88" s="83" t="n">
        <f aca="false">'13W Cash Flow'!M$74</f>
        <v>32592</v>
      </c>
      <c r="N88" s="83" t="n">
        <f aca="false">'13W Cash Flow'!N$74</f>
        <v>0</v>
      </c>
      <c r="O88" s="83" t="n">
        <f aca="false">'13W Cash Flow'!O$74</f>
        <v>25608</v>
      </c>
      <c r="P88" s="83" t="n">
        <f aca="false">SUM(C88:O88)</f>
        <v>100104</v>
      </c>
    </row>
    <row r="89" customFormat="false" ht="13.5" hidden="false" customHeight="true" outlineLevel="0" collapsed="false">
      <c r="A89" s="78" t="s">
        <v>482</v>
      </c>
      <c r="B89" s="62" t="s">
        <v>526</v>
      </c>
      <c r="C89" s="83" t="n">
        <f aca="false">'13W Cash Flow'!C$75</f>
        <v>7536</v>
      </c>
      <c r="D89" s="83" t="n">
        <f aca="false">'13W Cash Flow'!D$75</f>
        <v>7850</v>
      </c>
      <c r="E89" s="83" t="n">
        <f aca="false">'13W Cash Flow'!E$75</f>
        <v>7457.5</v>
      </c>
      <c r="F89" s="83" t="n">
        <f aca="false">'13W Cash Flow'!F$75</f>
        <v>7379</v>
      </c>
      <c r="G89" s="83" t="n">
        <f aca="false">'13W Cash Flow'!G$75</f>
        <v>7614.5</v>
      </c>
      <c r="H89" s="83" t="n">
        <f aca="false">'13W Cash Flow'!H$75</f>
        <v>7850</v>
      </c>
      <c r="I89" s="83" t="n">
        <f aca="false">'13W Cash Flow'!I$75</f>
        <v>8007</v>
      </c>
      <c r="J89" s="83" t="n">
        <f aca="false">'13W Cash Flow'!J$75</f>
        <v>8085.5</v>
      </c>
      <c r="K89" s="83" t="n">
        <f aca="false">'13W Cash Flow'!K$75</f>
        <v>7928.5</v>
      </c>
      <c r="L89" s="83" t="n">
        <f aca="false">'13W Cash Flow'!L$75</f>
        <v>8242.5</v>
      </c>
      <c r="M89" s="83" t="n">
        <f aca="false">'13W Cash Flow'!M$75</f>
        <v>8478</v>
      </c>
      <c r="N89" s="83" t="n">
        <f aca="false">'13W Cash Flow'!N$75</f>
        <v>8635</v>
      </c>
      <c r="O89" s="83" t="n">
        <f aca="false">'13W Cash Flow'!O$75</f>
        <v>8792</v>
      </c>
      <c r="P89" s="83" t="n">
        <f aca="false">SUM(C89:O89)</f>
        <v>103855.5</v>
      </c>
    </row>
    <row r="90" customFormat="false" ht="13.5" hidden="false" customHeight="true" outlineLevel="0" collapsed="false">
      <c r="A90" s="81" t="s">
        <v>328</v>
      </c>
      <c r="B90" s="23"/>
      <c r="C90" s="145" t="n">
        <f aca="false">SUM(C86:C89)</f>
        <v>46577.1</v>
      </c>
      <c r="D90" s="145" t="n">
        <f aca="false">SUM(D86:D89)</f>
        <v>74376.56</v>
      </c>
      <c r="E90" s="145" t="n">
        <f aca="false">SUM(E86:E89)</f>
        <v>45710.54</v>
      </c>
      <c r="F90" s="145" t="n">
        <f aca="false">SUM(F86:F89)</f>
        <v>45034.8</v>
      </c>
      <c r="G90" s="145" t="n">
        <f aca="false">SUM(G86:G89)</f>
        <v>46705.16</v>
      </c>
      <c r="H90" s="145" t="n">
        <f aca="false">SUM(H86:H89)</f>
        <v>48350.74</v>
      </c>
      <c r="I90" s="145" t="n">
        <f aca="false">SUM(I86:I89)</f>
        <v>68135.4</v>
      </c>
      <c r="J90" s="145" t="n">
        <f aca="false">SUM(J86:J89)</f>
        <v>50402.74</v>
      </c>
      <c r="K90" s="145" t="n">
        <f aca="false">SUM(K86:K89)</f>
        <v>49266.86</v>
      </c>
      <c r="L90" s="145" t="n">
        <f aca="false">SUM(L86:L89)</f>
        <v>51181.76</v>
      </c>
      <c r="M90" s="145" t="n">
        <f aca="false">SUM(M86:M89)</f>
        <v>85444.12</v>
      </c>
      <c r="N90" s="145" t="n">
        <f aca="false">SUM(N86:N89)</f>
        <v>54419.2</v>
      </c>
      <c r="O90" s="145" t="n">
        <f aca="false">SUM(O86:O89)</f>
        <v>82025.48</v>
      </c>
      <c r="P90" s="145" t="n">
        <f aca="false">SUM(C90:O90)</f>
        <v>747630.46</v>
      </c>
    </row>
    <row r="91" customFormat="false" ht="13.5" hidden="false" customHeight="true" outlineLevel="0" collapsed="false">
      <c r="A91" s="78" t="s">
        <v>330</v>
      </c>
      <c r="B91" s="23"/>
      <c r="C91" s="83" t="n">
        <f aca="false">C86*(1-Assumptions!$B$27-$C$7)+C87*(1-Assumptions!$B$28)+C88*(1-Assumptions!$B$29)+C89*(1-Assumptions!$B$30)</f>
        <v>18993.398</v>
      </c>
      <c r="D91" s="83" t="n">
        <f aca="false">D86*(1-Assumptions!$B$27-$C$7)+D87*(1-Assumptions!$B$28)+D88*(1-Assumptions!$B$29)+D89*(1-Assumptions!$B$30)</f>
        <v>29231.5952</v>
      </c>
      <c r="E91" s="83" t="n">
        <f aca="false">E86*(1-Assumptions!$B$27-$C$7)+E87*(1-Assumptions!$B$28)+E88*(1-Assumptions!$B$29)+E89*(1-Assumptions!$B$30)</f>
        <v>18635.3248</v>
      </c>
      <c r="F91" s="83" t="n">
        <f aca="false">F86*(1-Assumptions!$B$27-$C$7)+F87*(1-Assumptions!$B$28)+F88*(1-Assumptions!$B$29)+F89*(1-Assumptions!$B$30)</f>
        <v>18357.396</v>
      </c>
      <c r="G91" s="83" t="n">
        <f aca="false">G86*(1-Assumptions!$B$27-$C$7)+G87*(1-Assumptions!$B$28)+G88*(1-Assumptions!$B$29)+G89*(1-Assumptions!$B$30)</f>
        <v>19036.9892</v>
      </c>
      <c r="H91" s="83" t="n">
        <f aca="false">H86*(1-Assumptions!$B$27-$C$7)+H87*(1-Assumptions!$B$28)+H88*(1-Assumptions!$B$29)+H89*(1-Assumptions!$B$30)</f>
        <v>19710.4868</v>
      </c>
      <c r="I91" s="83" t="n">
        <f aca="false">I86*(1-Assumptions!$B$27-$C$7)+I87*(1-Assumptions!$B$28)+I88*(1-Assumptions!$B$29)+I89*(1-Assumptions!$B$30)</f>
        <v>26890.84</v>
      </c>
      <c r="J91" s="83" t="n">
        <f aca="false">J86*(1-Assumptions!$B$27-$C$7)+J87*(1-Assumptions!$B$28)+J88*(1-Assumptions!$B$29)+J89*(1-Assumptions!$B$30)</f>
        <v>20550.3688</v>
      </c>
      <c r="K91" s="83" t="n">
        <f aca="false">K86*(1-Assumptions!$B$27-$C$7)+K87*(1-Assumptions!$B$28)+K88*(1-Assumptions!$B$29)+K89*(1-Assumptions!$B$30)</f>
        <v>20080.7512</v>
      </c>
      <c r="L91" s="83" t="n">
        <f aca="false">L86*(1-Assumptions!$B$27-$C$7)+L87*(1-Assumptions!$B$28)+L88*(1-Assumptions!$B$29)+L89*(1-Assumptions!$B$30)</f>
        <v>20865.7932</v>
      </c>
      <c r="M91" s="83" t="n">
        <f aca="false">M86*(1-Assumptions!$B$27-$C$7)+M87*(1-Assumptions!$B$28)+M88*(1-Assumptions!$B$29)+M89*(1-Assumptions!$B$30)</f>
        <v>33278.5064</v>
      </c>
      <c r="N91" s="83" t="n">
        <f aca="false">N86*(1-Assumptions!$B$27-$C$7)+N87*(1-Assumptions!$B$28)+N88*(1-Assumptions!$B$29)+N89*(1-Assumptions!$B$30)</f>
        <v>22187.484</v>
      </c>
      <c r="O91" s="83" t="n">
        <f aca="false">O86*(1-Assumptions!$B$27-$C$7)+O87*(1-Assumptions!$B$28)+O88*(1-Assumptions!$B$29)+O89*(1-Assumptions!$B$30)</f>
        <v>32220.9416</v>
      </c>
      <c r="P91" s="83" t="n">
        <f aca="false">SUM(C91:O91)</f>
        <v>300039.8752</v>
      </c>
    </row>
    <row r="92" customFormat="false" ht="13.5" hidden="false" customHeight="true" outlineLevel="0" collapsed="false">
      <c r="A92" s="78" t="s">
        <v>527</v>
      </c>
      <c r="B92" s="62" t="s">
        <v>254</v>
      </c>
      <c r="C92" s="83" t="n">
        <f aca="false">C86*Assumptions!$B$66+IF(C84=1,Assumptions!$B$71,INDEX($C$86:$O$86,1,C84-1)*(1-Assumptions!$B$66))</f>
        <v>18197.668</v>
      </c>
      <c r="D92" s="83" t="n">
        <f aca="false">D86*Assumptions!$B$66+IF(D84=1,Assumptions!$B$71,INDEX($C$86:$O$86,1,D84-1)*(1-Assumptions!$B$66))</f>
        <v>20410.1072</v>
      </c>
      <c r="E92" s="83" t="n">
        <f aca="false">E86*Assumptions!$B$66+IF(E84=1,Assumptions!$B$71,INDEX($C$86:$O$86,1,E84-1)*(1-Assumptions!$B$66))</f>
        <v>17799.6896</v>
      </c>
      <c r="F92" s="83" t="n">
        <f aca="false">F86*Assumptions!$B$66+IF(F84=1,Assumptions!$B$71,INDEX($C$86:$O$86,1,F84-1)*(1-Assumptions!$B$66))</f>
        <v>17204.3312</v>
      </c>
      <c r="G92" s="83" t="n">
        <f aca="false">G86*Assumptions!$B$66+IF(G84=1,Assumptions!$B$71,INDEX($C$86:$O$86,1,G84-1)*(1-Assumptions!$B$66))</f>
        <v>17700.4632</v>
      </c>
      <c r="H92" s="83" t="n">
        <f aca="false">H86*Assumptions!$B$66+IF(H84=1,Assumptions!$B$71,INDEX($C$86:$O$86,1,H84-1)*(1-Assumptions!$B$66))</f>
        <v>18448.4776</v>
      </c>
      <c r="I92" s="83" t="n">
        <f aca="false">I86*Assumptions!$B$66+IF(I84=1,Assumptions!$B$71,INDEX($C$86:$O$86,1,I84-1)*(1-Assumptions!$B$66))</f>
        <v>19036.2032</v>
      </c>
      <c r="J92" s="83" t="n">
        <f aca="false">J86*Assumptions!$B$66+IF(J84=1,Assumptions!$B$71,INDEX($C$86:$O$86,1,J84-1)*(1-Assumptions!$B$66))</f>
        <v>19433.1088</v>
      </c>
      <c r="K92" s="83" t="n">
        <f aca="false">K86*Assumptions!$B$66+IF(K84=1,Assumptions!$B$71,INDEX($C$86:$O$86,1,K84-1)*(1-Assumptions!$B$66))</f>
        <v>18761.4224</v>
      </c>
      <c r="L92" s="83" t="n">
        <f aca="false">L86*Assumptions!$B$66+IF(L84=1,Assumptions!$B$71,INDEX($C$86:$O$86,1,L84-1)*(1-Assumptions!$B$66))</f>
        <v>19578.132</v>
      </c>
      <c r="M92" s="83" t="n">
        <f aca="false">M86*Assumptions!$B$66+IF(M84=1,Assumptions!$B$71,INDEX($C$86:$O$86,1,M84-1)*(1-Assumptions!$B$66))</f>
        <v>20181.1232</v>
      </c>
      <c r="N92" s="83" t="n">
        <f aca="false">N86*Assumptions!$B$66+IF(N84=1,Assumptions!$B$71,INDEX($C$86:$O$86,1,N84-1)*(1-Assumptions!$B$66))</f>
        <v>20929.1376</v>
      </c>
      <c r="O92" s="83" t="n">
        <f aca="false">O86*Assumptions!$B$66+IF(O84=1,Assumptions!$B$71,INDEX($C$86:$O$86,1,O84-1)*(1-Assumptions!$B$66))</f>
        <v>21692.4176</v>
      </c>
      <c r="P92" s="83" t="n">
        <f aca="false">SUM(C92:O92)</f>
        <v>249372.2816</v>
      </c>
    </row>
    <row r="93" customFormat="false" ht="13.5" hidden="false" customHeight="true" outlineLevel="0" collapsed="false">
      <c r="A93" s="78" t="s">
        <v>255</v>
      </c>
      <c r="B93" s="62" t="s">
        <v>256</v>
      </c>
      <c r="C93" s="83" t="n">
        <f aca="false">C87*Assumptions!$B$67+IF(C84=1,Assumptions!$B$72,INDEX($C$87:$O$87,1,C84-1)*(1-Assumptions!$B$67))</f>
        <v>21016.22</v>
      </c>
      <c r="D93" s="83" t="n">
        <f aca="false">D87*Assumptions!$B$67+IF(D84=1,Assumptions!$B$72,INDEX($C$87:$O$87,1,D84-1)*(1-Assumptions!$B$67))</f>
        <v>22379.28</v>
      </c>
      <c r="E93" s="83" t="n">
        <f aca="false">E87*Assumptions!$B$67+IF(E84=1,Assumptions!$B$72,INDEX($C$87:$O$87,1,E84-1)*(1-Assumptions!$B$67))</f>
        <v>20988.66</v>
      </c>
      <c r="F93" s="83" t="n">
        <f aca="false">F87*Assumptions!$B$67+IF(F84=1,Assumptions!$B$72,INDEX($C$87:$O$87,1,F84-1)*(1-Assumptions!$B$67))</f>
        <v>20514.34</v>
      </c>
      <c r="G93" s="83" t="n">
        <f aca="false">G87*Assumptions!$B$67+IF(G84=1,Assumptions!$B$72,INDEX($C$87:$O$87,1,G84-1)*(1-Assumptions!$B$67))</f>
        <v>21215.04</v>
      </c>
      <c r="H93" s="83" t="n">
        <f aca="false">H87*Assumptions!$B$67+IF(H84=1,Assumptions!$B$72,INDEX($C$87:$O$87,1,H84-1)*(1-Assumptions!$B$67))</f>
        <v>21894.18</v>
      </c>
      <c r="I93" s="83" t="n">
        <f aca="false">I87*Assumptions!$B$67+IF(I84=1,Assumptions!$B$72,INDEX($C$87:$O$87,1,I84-1)*(1-Assumptions!$B$67))</f>
        <v>22357.72</v>
      </c>
      <c r="J93" s="83" t="n">
        <f aca="false">J87*Assumptions!$B$67+IF(J84=1,Assumptions!$B$72,INDEX($C$87:$O$87,1,J84-1)*(1-Assumptions!$B$67))</f>
        <v>22788.92</v>
      </c>
      <c r="K93" s="83" t="n">
        <f aca="false">K87*Assumptions!$B$67+IF(K84=1,Assumptions!$B$72,INDEX($C$87:$O$87,1,K84-1)*(1-Assumptions!$B$67))</f>
        <v>22670.34</v>
      </c>
      <c r="L93" s="83" t="n">
        <f aca="false">L87*Assumptions!$B$67+IF(L84=1,Assumptions!$B$72,INDEX($C$87:$O$87,1,L84-1)*(1-Assumptions!$B$67))</f>
        <v>23187.78</v>
      </c>
      <c r="M93" s="83" t="n">
        <f aca="false">M87*Assumptions!$B$67+IF(M84=1,Assumptions!$B$72,INDEX($C$87:$O$87,1,M84-1)*(1-Assumptions!$B$67))</f>
        <v>24017.84</v>
      </c>
      <c r="N93" s="83" t="n">
        <f aca="false">N87*Assumptions!$B$67+IF(N84=1,Assumptions!$B$72,INDEX($C$87:$O$87,1,N84-1)*(1-Assumptions!$B$67))</f>
        <v>24696.98</v>
      </c>
      <c r="O93" s="83" t="n">
        <f aca="false">O87*Assumptions!$B$67+IF(O84=1,Assumptions!$B$72,INDEX($C$87:$O$87,1,O84-1)*(1-Assumptions!$B$67))</f>
        <v>25710.3</v>
      </c>
      <c r="P93" s="83" t="n">
        <f aca="false">SUM(C93:O93)</f>
        <v>293437.6</v>
      </c>
    </row>
    <row r="94" customFormat="false" ht="13.5" hidden="false" customHeight="true" outlineLevel="0" collapsed="false">
      <c r="A94" s="78" t="s">
        <v>257</v>
      </c>
      <c r="B94" s="62" t="s">
        <v>258</v>
      </c>
      <c r="C94" s="83" t="n">
        <f aca="false">C88*Assumptions!$B$68+IF(C84=1,0,INDEX($C$88:$O$88,1,C84-1)*(1-Assumptions!$B$68))</f>
        <v>0</v>
      </c>
      <c r="D94" s="83" t="n">
        <f aca="false">D88*Assumptions!$B$68+IF(D84=1,0,INDEX($C$88:$O$88,1,D84-1)*(1-Assumptions!$B$68))</f>
        <v>23280</v>
      </c>
      <c r="E94" s="83" t="n">
        <f aca="false">E88*Assumptions!$B$68+IF(E84=1,0,INDEX($C$88:$O$88,1,E84-1)*(1-Assumptions!$B$68))</f>
        <v>0</v>
      </c>
      <c r="F94" s="83" t="n">
        <f aca="false">F88*Assumptions!$B$68+IF(F84=1,0,INDEX($C$88:$O$88,1,F84-1)*(1-Assumptions!$B$68))</f>
        <v>0</v>
      </c>
      <c r="G94" s="83" t="n">
        <f aca="false">G88*Assumptions!$B$68+IF(G84=1,0,INDEX($C$88:$O$88,1,G84-1)*(1-Assumptions!$B$68))</f>
        <v>0</v>
      </c>
      <c r="H94" s="83" t="n">
        <f aca="false">H88*Assumptions!$B$68+IF(H84=1,0,INDEX($C$88:$O$88,1,H84-1)*(1-Assumptions!$B$68))</f>
        <v>0</v>
      </c>
      <c r="I94" s="83" t="n">
        <f aca="false">I88*Assumptions!$B$68+IF(I84=1,0,INDEX($C$88:$O$88,1,I84-1)*(1-Assumptions!$B$68))</f>
        <v>18624</v>
      </c>
      <c r="J94" s="83" t="n">
        <f aca="false">J88*Assumptions!$B$68+IF(J84=1,0,INDEX($C$88:$O$88,1,J84-1)*(1-Assumptions!$B$68))</f>
        <v>0</v>
      </c>
      <c r="K94" s="83" t="n">
        <f aca="false">K88*Assumptions!$B$68+IF(K84=1,0,INDEX($C$88:$O$88,1,K84-1)*(1-Assumptions!$B$68))</f>
        <v>0</v>
      </c>
      <c r="L94" s="83" t="n">
        <f aca="false">L88*Assumptions!$B$68+IF(L84=1,0,INDEX($C$88:$O$88,1,L84-1)*(1-Assumptions!$B$68))</f>
        <v>0</v>
      </c>
      <c r="M94" s="83" t="n">
        <f aca="false">M88*Assumptions!$B$68+IF(M84=1,0,INDEX($C$88:$O$88,1,M84-1)*(1-Assumptions!$B$68))</f>
        <v>32592</v>
      </c>
      <c r="N94" s="83" t="n">
        <f aca="false">N88*Assumptions!$B$68+IF(N84=1,0,INDEX($C$88:$O$88,1,N84-1)*(1-Assumptions!$B$68))</f>
        <v>0</v>
      </c>
      <c r="O94" s="83" t="n">
        <f aca="false">O88*Assumptions!$B$68+IF(O84=1,0,INDEX($C$88:$O$88,1,O84-1)*(1-Assumptions!$B$68))</f>
        <v>25608</v>
      </c>
      <c r="P94" s="83" t="n">
        <f aca="false">SUM(C94:O94)</f>
        <v>100104</v>
      </c>
    </row>
    <row r="95" customFormat="false" ht="13.5" hidden="false" customHeight="true" outlineLevel="0" collapsed="false">
      <c r="A95" s="78" t="s">
        <v>528</v>
      </c>
      <c r="B95" s="62" t="s">
        <v>260</v>
      </c>
      <c r="C95" s="83" t="n">
        <f aca="false">IF(C84&lt;=Assumptions!$B$69,Assumptions!$B$73/Assumptions!$B$69,INDEX($C$89:$O$89,1,C84-Assumptions!$B$69)*(1-Assumptions!$B$41))</f>
        <v>5495</v>
      </c>
      <c r="D95" s="83" t="n">
        <f aca="false">IF(D84&lt;=Assumptions!$B$69,Assumptions!$B$73/Assumptions!$B$69,INDEX($C$89:$O$89,1,D84-Assumptions!$B$69)*(1-Assumptions!$B$41))</f>
        <v>5495</v>
      </c>
      <c r="E95" s="83" t="n">
        <f aca="false">IF(E84&lt;=Assumptions!$B$69,Assumptions!$B$73/Assumptions!$B$69,INDEX($C$89:$O$89,1,E84-Assumptions!$B$69)*(1-Assumptions!$B$41))</f>
        <v>5495</v>
      </c>
      <c r="F95" s="83" t="n">
        <f aca="false">IF(F84&lt;=Assumptions!$B$69,Assumptions!$B$73/Assumptions!$B$69,INDEX($C$89:$O$89,1,F84-Assumptions!$B$69)*(1-Assumptions!$B$41))</f>
        <v>5495</v>
      </c>
      <c r="G95" s="83" t="n">
        <f aca="false">IF(G84&lt;=Assumptions!$B$69,Assumptions!$B$73/Assumptions!$B$69,INDEX($C$89:$O$89,1,G84-Assumptions!$B$69)*(1-Assumptions!$B$41))</f>
        <v>5275.2</v>
      </c>
      <c r="H95" s="83" t="n">
        <f aca="false">IF(H84&lt;=Assumptions!$B$69,Assumptions!$B$73/Assumptions!$B$69,INDEX($C$89:$O$89,1,H84-Assumptions!$B$69)*(1-Assumptions!$B$41))</f>
        <v>5495</v>
      </c>
      <c r="I95" s="83" t="n">
        <f aca="false">IF(I84&lt;=Assumptions!$B$69,Assumptions!$B$73/Assumptions!$B$69,INDEX($C$89:$O$89,1,I84-Assumptions!$B$69)*(1-Assumptions!$B$41))</f>
        <v>5220.25</v>
      </c>
      <c r="J95" s="83" t="n">
        <f aca="false">IF(J84&lt;=Assumptions!$B$69,Assumptions!$B$73/Assumptions!$B$69,INDEX($C$89:$O$89,1,J84-Assumptions!$B$69)*(1-Assumptions!$B$41))</f>
        <v>5165.3</v>
      </c>
      <c r="K95" s="83" t="n">
        <f aca="false">IF(K84&lt;=Assumptions!$B$69,Assumptions!$B$73/Assumptions!$B$69,INDEX($C$89:$O$89,1,K84-Assumptions!$B$69)*(1-Assumptions!$B$41))</f>
        <v>5330.15</v>
      </c>
      <c r="L95" s="83" t="n">
        <f aca="false">IF(L84&lt;=Assumptions!$B$69,Assumptions!$B$73/Assumptions!$B$69,INDEX($C$89:$O$89,1,L84-Assumptions!$B$69)*(1-Assumptions!$B$41))</f>
        <v>5495</v>
      </c>
      <c r="M95" s="83" t="n">
        <f aca="false">IF(M84&lt;=Assumptions!$B$69,Assumptions!$B$73/Assumptions!$B$69,INDEX($C$89:$O$89,1,M84-Assumptions!$B$69)*(1-Assumptions!$B$41))</f>
        <v>5604.9</v>
      </c>
      <c r="N95" s="83" t="n">
        <f aca="false">IF(N84&lt;=Assumptions!$B$69,Assumptions!$B$73/Assumptions!$B$69,INDEX($C$89:$O$89,1,N84-Assumptions!$B$69)*(1-Assumptions!$B$41))</f>
        <v>5659.85</v>
      </c>
      <c r="O95" s="83" t="n">
        <f aca="false">IF(O84&lt;=Assumptions!$B$69,Assumptions!$B$73/Assumptions!$B$69,INDEX($C$89:$O$89,1,O84-Assumptions!$B$69)*(1-Assumptions!$B$41))</f>
        <v>5549.95</v>
      </c>
      <c r="P95" s="83" t="n">
        <f aca="false">SUM(C95:O95)</f>
        <v>70775.6</v>
      </c>
    </row>
    <row r="96" customFormat="false" ht="13.5" hidden="false" customHeight="true" outlineLevel="0" collapsed="false">
      <c r="A96" s="78" t="s">
        <v>529</v>
      </c>
      <c r="B96" s="62" t="s">
        <v>262</v>
      </c>
      <c r="C96" s="83" t="n">
        <f aca="false">IF(C84=$C$19,$C$18,0)+IF(C84=Assumptions!$B$124,Assumptions!$B$123,0)</f>
        <v>0</v>
      </c>
      <c r="D96" s="83" t="n">
        <f aca="false">IF(D84=$C$19,$C$18,0)+IF(D84=Assumptions!$B$124,Assumptions!$B$123,0)</f>
        <v>0</v>
      </c>
      <c r="E96" s="83" t="n">
        <f aca="false">IF(E84=$C$19,$C$18,0)+IF(E84=Assumptions!$B$124,Assumptions!$B$123,0)</f>
        <v>0</v>
      </c>
      <c r="F96" s="83" t="n">
        <f aca="false">IF(F84=$C$19,$C$18,0)+IF(F84=Assumptions!$B$124,Assumptions!$B$123,0)</f>
        <v>0</v>
      </c>
      <c r="G96" s="83" t="n">
        <f aca="false">IF(G84=$C$19,$C$18,0)+IF(G84=Assumptions!$B$124,Assumptions!$B$123,0)</f>
        <v>0</v>
      </c>
      <c r="H96" s="83" t="n">
        <f aca="false">IF(H84=$C$19,$C$18,0)+IF(H84=Assumptions!$B$124,Assumptions!$B$123,0)</f>
        <v>0</v>
      </c>
      <c r="I96" s="83" t="n">
        <f aca="false">IF(I84=$C$19,$C$18,0)+IF(I84=Assumptions!$B$124,Assumptions!$B$123,0)</f>
        <v>0</v>
      </c>
      <c r="J96" s="83" t="n">
        <f aca="false">IF(J84=$C$19,$C$18,0)+IF(J84=Assumptions!$B$124,Assumptions!$B$123,0)</f>
        <v>0</v>
      </c>
      <c r="K96" s="83" t="n">
        <f aca="false">IF(K84=$C$19,$C$18,0)+IF(K84=Assumptions!$B$124,Assumptions!$B$123,0)</f>
        <v>0</v>
      </c>
      <c r="L96" s="83" t="n">
        <f aca="false">IF(L84=$C$19,$C$18,0)+IF(L84=Assumptions!$B$124,Assumptions!$B$123,0)</f>
        <v>0</v>
      </c>
      <c r="M96" s="83" t="n">
        <f aca="false">IF(M84=$C$19,$C$18,0)+IF(M84=Assumptions!$B$124,Assumptions!$B$123,0)</f>
        <v>0</v>
      </c>
      <c r="N96" s="83" t="n">
        <f aca="false">IF(N84=$C$19,$C$18,0)+IF(N84=Assumptions!$B$124,Assumptions!$B$123,0)</f>
        <v>0</v>
      </c>
      <c r="O96" s="83" t="n">
        <f aca="false">IF(O84=$C$19,$C$18,0)+IF(O84=Assumptions!$B$124,Assumptions!$B$123,0)</f>
        <v>0</v>
      </c>
      <c r="P96" s="83" t="n">
        <f aca="false">SUM(C96:O96)</f>
        <v>0</v>
      </c>
    </row>
    <row r="97" customFormat="false" ht="13.5" hidden="false" customHeight="true" outlineLevel="0" collapsed="false">
      <c r="A97" s="81" t="s">
        <v>263</v>
      </c>
      <c r="B97" s="23"/>
      <c r="C97" s="145" t="n">
        <f aca="false">SUM(C92:C96)</f>
        <v>44708.888</v>
      </c>
      <c r="D97" s="145" t="n">
        <f aca="false">SUM(D92:D96)</f>
        <v>71564.3872</v>
      </c>
      <c r="E97" s="145" t="n">
        <f aca="false">SUM(E92:E96)</f>
        <v>44283.3496</v>
      </c>
      <c r="F97" s="145" t="n">
        <f aca="false">SUM(F92:F96)</f>
        <v>43213.6712</v>
      </c>
      <c r="G97" s="145" t="n">
        <f aca="false">SUM(G92:G96)</f>
        <v>44190.7032</v>
      </c>
      <c r="H97" s="145" t="n">
        <f aca="false">SUM(H92:H96)</f>
        <v>45837.6576</v>
      </c>
      <c r="I97" s="145" t="n">
        <f aca="false">SUM(I92:I96)</f>
        <v>65238.1732</v>
      </c>
      <c r="J97" s="145" t="n">
        <f aca="false">SUM(J92:J96)</f>
        <v>47387.3288</v>
      </c>
      <c r="K97" s="145" t="n">
        <f aca="false">SUM(K92:K96)</f>
        <v>46761.9124</v>
      </c>
      <c r="L97" s="145" t="n">
        <f aca="false">SUM(L92:L96)</f>
        <v>48260.912</v>
      </c>
      <c r="M97" s="145" t="n">
        <f aca="false">SUM(M92:M96)</f>
        <v>82395.8632</v>
      </c>
      <c r="N97" s="145" t="n">
        <f aca="false">SUM(N92:N96)</f>
        <v>51285.9676</v>
      </c>
      <c r="O97" s="145" t="n">
        <f aca="false">SUM(O92:O96)</f>
        <v>78560.6676</v>
      </c>
      <c r="P97" s="145" t="n">
        <f aca="false">SUM(C97:O97)</f>
        <v>713689.4816</v>
      </c>
    </row>
    <row r="98" customFormat="false" ht="13.5" hidden="false" customHeight="true" outlineLevel="0" collapsed="false">
      <c r="A98" s="78" t="s">
        <v>265</v>
      </c>
      <c r="B98" s="62" t="s">
        <v>530</v>
      </c>
      <c r="C98" s="83" t="n">
        <f aca="false">C91*Assumptions!$B$75*IF(C85=1,1,$C$20)+SUMIFS(Assumptions!$B$115:$B$118,Assumptions!$C$115:$C$118,C84)</f>
        <v>11016.17084</v>
      </c>
      <c r="D98" s="83" t="n">
        <f aca="false">D91*Assumptions!$B$75*IF(D85=1,1,$C$20)+SUMIFS(Assumptions!$B$115:$B$118,Assumptions!$C$115:$C$118,D84)</f>
        <v>70954.325216</v>
      </c>
      <c r="E98" s="83" t="n">
        <f aca="false">E91*Assumptions!$B$75*IF(E85=1,1,$C$20)+SUMIFS(Assumptions!$B$115:$B$118,Assumptions!$C$115:$C$118,E84)</f>
        <v>10808.488384</v>
      </c>
      <c r="F98" s="83" t="n">
        <f aca="false">F91*Assumptions!$B$75*IF(F85=1,1,$C$20)+SUMIFS(Assumptions!$B$115:$B$118,Assumptions!$C$115:$C$118,F84)</f>
        <v>10647.28968</v>
      </c>
      <c r="G98" s="83" t="n">
        <f aca="false">G91*Assumptions!$B$75*IF(G85=1,1,$C$20)+SUMIFS(Assumptions!$B$115:$B$118,Assumptions!$C$115:$C$118,G84)</f>
        <v>57041.453736</v>
      </c>
      <c r="H98" s="83" t="n">
        <f aca="false">H91*Assumptions!$B$75*IF(H85=1,1,$C$20)+SUMIFS(Assumptions!$B$115:$B$118,Assumptions!$C$115:$C$118,H84)</f>
        <v>11432.082344</v>
      </c>
      <c r="I98" s="83" t="n">
        <f aca="false">I91*Assumptions!$B$75*IF(I85=1,1,$C$20)+SUMIFS(Assumptions!$B$115:$B$118,Assumptions!$C$115:$C$118,I84)</f>
        <v>15596.6872</v>
      </c>
      <c r="J98" s="83" t="n">
        <f aca="false">J91*Assumptions!$B$75*IF(J85=1,1,$C$20)+SUMIFS(Assumptions!$B$115:$B$118,Assumptions!$C$115:$C$118,J84)</f>
        <v>93919.213904</v>
      </c>
      <c r="K98" s="83" t="n">
        <f aca="false">K91*Assumptions!$B$75*IF(K85=1,1,$C$20)+SUMIFS(Assumptions!$B$115:$B$118,Assumptions!$C$115:$C$118,K84)</f>
        <v>11646.835696</v>
      </c>
      <c r="L98" s="83" t="n">
        <f aca="false">L91*Assumptions!$B$75*IF(L85=1,1,$C$20)+SUMIFS(Assumptions!$B$115:$B$118,Assumptions!$C$115:$C$118,L84)</f>
        <v>12102.160056</v>
      </c>
      <c r="M98" s="83" t="n">
        <f aca="false">M91*Assumptions!$B$75*IF(M85=1,1,$C$20)+SUMIFS(Assumptions!$B$115:$B$118,Assumptions!$C$115:$C$118,M84)</f>
        <v>72301.533712</v>
      </c>
      <c r="N98" s="83" t="n">
        <f aca="false">N91*Assumptions!$B$75*IF(N85=1,1,$C$20)+SUMIFS(Assumptions!$B$115:$B$118,Assumptions!$C$115:$C$118,N84)</f>
        <v>12868.74072</v>
      </c>
      <c r="O98" s="83" t="n">
        <f aca="false">O91*Assumptions!$B$75*IF(O85=1,1,$C$20)+SUMIFS(Assumptions!$B$115:$B$118,Assumptions!$C$115:$C$118,O84)</f>
        <v>18688.146128</v>
      </c>
      <c r="P98" s="83" t="n">
        <f aca="false">SUM(C98:O98)</f>
        <v>409023.127616</v>
      </c>
    </row>
    <row r="99" customFormat="false" ht="13.5" hidden="false" customHeight="true" outlineLevel="0" collapsed="false">
      <c r="A99" s="78" t="s">
        <v>531</v>
      </c>
      <c r="B99" s="62" t="s">
        <v>163</v>
      </c>
      <c r="C99" s="83" t="n">
        <f aca="false">(Assumptions!$B$46*(1+$C$8)*C85+Assumptions!$B$91)*'13W Cash Flow'!C$69</f>
        <v>0</v>
      </c>
      <c r="D99" s="83" t="n">
        <f aca="false">(Assumptions!$B$46*(1+$C$8)*D85+Assumptions!$B$91)*'13W Cash Flow'!D$69</f>
        <v>0</v>
      </c>
      <c r="E99" s="83" t="n">
        <f aca="false">(Assumptions!$B$46*(1+$C$8)*E85+Assumptions!$B$91)*'13W Cash Flow'!E$69</f>
        <v>0</v>
      </c>
      <c r="F99" s="83" t="n">
        <f aca="false">(Assumptions!$B$46*(1+$C$8)*F85+Assumptions!$B$91)*'13W Cash Flow'!F$69</f>
        <v>0</v>
      </c>
      <c r="G99" s="83" t="n">
        <f aca="false">(Assumptions!$B$46*(1+$C$8)*G85+Assumptions!$B$91)*'13W Cash Flow'!G$69</f>
        <v>44700</v>
      </c>
      <c r="H99" s="83" t="n">
        <f aca="false">(Assumptions!$B$46*(1+$C$8)*H85+Assumptions!$B$91)*'13W Cash Flow'!H$69</f>
        <v>0</v>
      </c>
      <c r="I99" s="83" t="n">
        <f aca="false">(Assumptions!$B$46*(1+$C$8)*I85+Assumptions!$B$91)*'13W Cash Flow'!I$69</f>
        <v>0</v>
      </c>
      <c r="J99" s="83" t="n">
        <f aca="false">(Assumptions!$B$46*(1+$C$8)*J85+Assumptions!$B$91)*'13W Cash Flow'!J$69</f>
        <v>0</v>
      </c>
      <c r="K99" s="83" t="n">
        <f aca="false">(Assumptions!$B$46*(1+$C$8)*K85+Assumptions!$B$91)*'13W Cash Flow'!K$69</f>
        <v>44700</v>
      </c>
      <c r="L99" s="83" t="n">
        <f aca="false">(Assumptions!$B$46*(1+$C$8)*L85+Assumptions!$B$91)*'13W Cash Flow'!L$69</f>
        <v>0</v>
      </c>
      <c r="M99" s="83" t="n">
        <f aca="false">(Assumptions!$B$46*(1+$C$8)*M85+Assumptions!$B$91)*'13W Cash Flow'!M$69</f>
        <v>0</v>
      </c>
      <c r="N99" s="83" t="n">
        <f aca="false">(Assumptions!$B$46*(1+$C$8)*N85+Assumptions!$B$91)*'13W Cash Flow'!N$69</f>
        <v>0</v>
      </c>
      <c r="O99" s="83" t="n">
        <f aca="false">(Assumptions!$B$46*(1+$C$8)*O85+Assumptions!$B$91)*'13W Cash Flow'!O$69</f>
        <v>44700</v>
      </c>
      <c r="P99" s="83" t="n">
        <f aca="false">SUM(C99:O99)</f>
        <v>134100</v>
      </c>
    </row>
    <row r="100" customFormat="false" ht="13.5" hidden="false" customHeight="true" outlineLevel="0" collapsed="false">
      <c r="A100" s="78" t="s">
        <v>532</v>
      </c>
      <c r="B100" s="62" t="s">
        <v>533</v>
      </c>
      <c r="C100" s="83" t="n">
        <f aca="false">C85*(Assumptions!$B$45*'13W Cash Flow'!C$64+(Assumptions!$B$47*'13W Cash Flow'!C$67+Assumptions!$B$48*'13W Cash Flow'!C$66+Assumptions!$B$49*'13W Cash Flow'!C$64)*(1+$C$9))</f>
        <v>0</v>
      </c>
      <c r="D100" s="83" t="n">
        <f aca="false">D85*(Assumptions!$B$45*'13W Cash Flow'!D$64+(Assumptions!$B$47*'13W Cash Flow'!D$67+Assumptions!$B$48*'13W Cash Flow'!D$66+Assumptions!$B$49*'13W Cash Flow'!D$64)*(1+$C$9))</f>
        <v>3050</v>
      </c>
      <c r="E100" s="83" t="n">
        <f aca="false">E85*(Assumptions!$B$45*'13W Cash Flow'!E$64+(Assumptions!$B$47*'13W Cash Flow'!E$67+Assumptions!$B$48*'13W Cash Flow'!E$66+Assumptions!$B$49*'13W Cash Flow'!E$64)*(1+$C$9))</f>
        <v>0</v>
      </c>
      <c r="F100" s="83" t="n">
        <f aca="false">F85*(Assumptions!$B$45*'13W Cash Flow'!F$64+(Assumptions!$B$47*'13W Cash Flow'!F$67+Assumptions!$B$48*'13W Cash Flow'!F$66+Assumptions!$B$49*'13W Cash Flow'!F$64)*(1+$C$9))</f>
        <v>0</v>
      </c>
      <c r="G100" s="83" t="n">
        <f aca="false">G85*(Assumptions!$B$45*'13W Cash Flow'!G$64+(Assumptions!$B$47*'13W Cash Flow'!G$67+Assumptions!$B$48*'13W Cash Flow'!G$66+Assumptions!$B$49*'13W Cash Flow'!G$64)*(1+$C$9))</f>
        <v>22900</v>
      </c>
      <c r="H100" s="83" t="n">
        <f aca="false">H85*(Assumptions!$B$45*'13W Cash Flow'!H$64+(Assumptions!$B$47*'13W Cash Flow'!H$67+Assumptions!$B$48*'13W Cash Flow'!H$66+Assumptions!$B$49*'13W Cash Flow'!H$64)*(1+$C$9))</f>
        <v>450</v>
      </c>
      <c r="I100" s="83" t="n">
        <f aca="false">I85*(Assumptions!$B$45*'13W Cash Flow'!I$64+(Assumptions!$B$47*'13W Cash Flow'!I$67+Assumptions!$B$48*'13W Cash Flow'!I$66+Assumptions!$B$49*'13W Cash Flow'!I$64)*(1+$C$9))</f>
        <v>2600</v>
      </c>
      <c r="J100" s="83" t="n">
        <f aca="false">J85*(Assumptions!$B$45*'13W Cash Flow'!J$64+(Assumptions!$B$47*'13W Cash Flow'!J$67+Assumptions!$B$48*'13W Cash Flow'!J$66+Assumptions!$B$49*'13W Cash Flow'!J$64)*(1+$C$9))</f>
        <v>0</v>
      </c>
      <c r="K100" s="83" t="n">
        <f aca="false">K85*(Assumptions!$B$45*'13W Cash Flow'!K$64+(Assumptions!$B$47*'13W Cash Flow'!K$67+Assumptions!$B$48*'13W Cash Flow'!K$66+Assumptions!$B$49*'13W Cash Flow'!K$64)*(1+$C$9))</f>
        <v>22900</v>
      </c>
      <c r="L100" s="83" t="n">
        <f aca="false">L85*(Assumptions!$B$45*'13W Cash Flow'!L$64+(Assumptions!$B$47*'13W Cash Flow'!L$67+Assumptions!$B$48*'13W Cash Flow'!L$66+Assumptions!$B$49*'13W Cash Flow'!L$64)*(1+$C$9))</f>
        <v>450</v>
      </c>
      <c r="M100" s="83" t="n">
        <f aca="false">M85*(Assumptions!$B$45*'13W Cash Flow'!M$64+(Assumptions!$B$47*'13W Cash Flow'!M$67+Assumptions!$B$48*'13W Cash Flow'!M$66+Assumptions!$B$49*'13W Cash Flow'!M$64)*(1+$C$9))</f>
        <v>2600</v>
      </c>
      <c r="N100" s="83" t="n">
        <f aca="false">N85*(Assumptions!$B$45*'13W Cash Flow'!N$64+(Assumptions!$B$47*'13W Cash Flow'!N$67+Assumptions!$B$48*'13W Cash Flow'!N$66+Assumptions!$B$49*'13W Cash Flow'!N$64)*(1+$C$9))</f>
        <v>0</v>
      </c>
      <c r="O100" s="83" t="n">
        <f aca="false">O85*(Assumptions!$B$45*'13W Cash Flow'!O$64+(Assumptions!$B$47*'13W Cash Flow'!O$67+Assumptions!$B$48*'13W Cash Flow'!O$66+Assumptions!$B$49*'13W Cash Flow'!O$64)*(1+$C$9))</f>
        <v>22900</v>
      </c>
      <c r="P100" s="83" t="n">
        <f aca="false">SUM(C100:O100)</f>
        <v>77850</v>
      </c>
    </row>
    <row r="101" customFormat="false" ht="13.5" hidden="false" customHeight="true" outlineLevel="0" collapsed="false">
      <c r="A101" s="78" t="s">
        <v>534</v>
      </c>
      <c r="B101" s="62" t="s">
        <v>272</v>
      </c>
      <c r="C101" s="83" t="n">
        <f aca="false">C87*Assumptions!$B$39*$C$12+Assumptions!$B$61*'13W Cash Flow'!C$66</f>
        <v>1882.188</v>
      </c>
      <c r="D101" s="83" t="n">
        <f aca="false">D87*Assumptions!$B$39*$C$12+Assumptions!$B$61*'13W Cash Flow'!D$66</f>
        <v>6537.42</v>
      </c>
      <c r="E101" s="83" t="n">
        <f aca="false">E87*Assumptions!$B$39*$C$12+Assumptions!$B$61*'13W Cash Flow'!E$66</f>
        <v>1862.784</v>
      </c>
      <c r="F101" s="83" t="n">
        <f aca="false">F87*Assumptions!$B$39*$C$12+Assumptions!$B$61*'13W Cash Flow'!F$66</f>
        <v>1843.38</v>
      </c>
      <c r="G101" s="83" t="n">
        <f aca="false">G87*Assumptions!$B$39*$C$12+Assumptions!$B$61*'13W Cash Flow'!G$66</f>
        <v>1920.996</v>
      </c>
      <c r="H101" s="83" t="n">
        <f aca="false">H87*Assumptions!$B$39*$C$12+Assumptions!$B$61*'13W Cash Flow'!H$66</f>
        <v>6479.208</v>
      </c>
      <c r="I101" s="83" t="n">
        <f aca="false">I87*Assumptions!$B$39*$C$12+Assumptions!$B$61*'13W Cash Flow'!I$66</f>
        <v>2018.016</v>
      </c>
      <c r="J101" s="83" t="n">
        <f aca="false">J87*Assumptions!$B$39*$C$12+Assumptions!$B$61*'13W Cash Flow'!J$66</f>
        <v>2056.824</v>
      </c>
      <c r="K101" s="83" t="n">
        <f aca="false">K87*Assumptions!$B$39*$C$12+Assumptions!$B$61*'13W Cash Flow'!K$66</f>
        <v>2037.42</v>
      </c>
      <c r="L101" s="83" t="n">
        <f aca="false">L87*Assumptions!$B$39*$C$12+Assumptions!$B$61*'13W Cash Flow'!L$66</f>
        <v>6595.632</v>
      </c>
      <c r="M101" s="83" t="n">
        <f aca="false">M87*Assumptions!$B$39*$C$12+Assumptions!$B$61*'13W Cash Flow'!M$66</f>
        <v>2173.248</v>
      </c>
      <c r="N101" s="83" t="n">
        <f aca="false">N87*Assumptions!$B$39*$C$12+Assumptions!$B$61*'13W Cash Flow'!N$66</f>
        <v>2231.46</v>
      </c>
      <c r="O101" s="83" t="n">
        <f aca="false">O87*Assumptions!$B$39*$C$12+Assumptions!$B$61*'13W Cash Flow'!O$66</f>
        <v>2328.48</v>
      </c>
      <c r="P101" s="83" t="n">
        <f aca="false">SUM(C101:O101)</f>
        <v>39967.056</v>
      </c>
    </row>
    <row r="102" customFormat="false" ht="13.5" hidden="false" customHeight="true" outlineLevel="0" collapsed="false">
      <c r="A102" s="78" t="s">
        <v>352</v>
      </c>
      <c r="B102" s="62" t="s">
        <v>274</v>
      </c>
      <c r="C102" s="83" t="n">
        <f aca="false">C87*Assumptions!$B$38+C89*Assumptions!$B$42</f>
        <v>1472.398</v>
      </c>
      <c r="D102" s="83" t="n">
        <f aca="false">D87*Assumptions!$B$38+D89*Assumptions!$B$42</f>
        <v>1589.22</v>
      </c>
      <c r="E102" s="83" t="n">
        <f aca="false">E87*Assumptions!$B$38+E89*Assumptions!$B$42</f>
        <v>1457.2065</v>
      </c>
      <c r="F102" s="83" t="n">
        <f aca="false">F87*Assumptions!$B$38+F89*Assumptions!$B$42</f>
        <v>1442.015</v>
      </c>
      <c r="G102" s="83" t="n">
        <f aca="false">G87*Assumptions!$B$38+G89*Assumptions!$B$42</f>
        <v>1501.6035</v>
      </c>
      <c r="H102" s="83" t="n">
        <f aca="false">H87*Assumptions!$B$38+H89*Assumptions!$B$42</f>
        <v>1547.178</v>
      </c>
      <c r="I102" s="83" t="n">
        <f aca="false">I87*Assumptions!$B$38+I89*Assumptions!$B$42</f>
        <v>1577.561</v>
      </c>
      <c r="J102" s="83" t="n">
        <f aca="false">J87*Assumptions!$B$38+J89*Assumptions!$B$42</f>
        <v>1606.7665</v>
      </c>
      <c r="K102" s="83" t="n">
        <f aca="false">K87*Assumptions!$B$38+K89*Assumptions!$B$42</f>
        <v>1590.3975</v>
      </c>
      <c r="L102" s="83" t="n">
        <f aca="false">L87*Assumptions!$B$38+L89*Assumptions!$B$42</f>
        <v>1637.1495</v>
      </c>
      <c r="M102" s="83" t="n">
        <f aca="false">M87*Assumptions!$B$38+M89*Assumptions!$B$42</f>
        <v>1696.738</v>
      </c>
      <c r="N102" s="83" t="n">
        <f aca="false">N87*Assumptions!$B$38+N89*Assumptions!$B$42</f>
        <v>1741.135</v>
      </c>
      <c r="O102" s="83" t="n">
        <f aca="false">O87*Assumptions!$B$38+O89*Assumptions!$B$42</f>
        <v>1813.56</v>
      </c>
      <c r="P102" s="83" t="n">
        <f aca="false">SUM(C102:O102)</f>
        <v>20672.9285</v>
      </c>
    </row>
    <row r="103" customFormat="false" ht="13.5" hidden="false" customHeight="true" outlineLevel="0" collapsed="false">
      <c r="A103" s="78" t="s">
        <v>275</v>
      </c>
      <c r="B103" s="62" t="s">
        <v>274</v>
      </c>
      <c r="C103" s="83" t="n">
        <f aca="false">C86*Assumptions!$B$33+C87*Assumptions!$B$34+C88*Assumptions!$B$35</f>
        <v>932.785</v>
      </c>
      <c r="D103" s="83" t="n">
        <f aca="false">D86*Assumptions!$B$33+D87*Assumptions!$B$34+D88*Assumptions!$B$35</f>
        <v>1469.77608</v>
      </c>
      <c r="E103" s="83" t="n">
        <f aca="false">E86*Assumptions!$B$33+E87*Assumptions!$B$34+E88*Assumptions!$B$35</f>
        <v>916.22832</v>
      </c>
      <c r="F103" s="83" t="n">
        <f aca="false">F86*Assumptions!$B$33+F87*Assumptions!$B$34+F88*Assumptions!$B$35</f>
        <v>903.1064</v>
      </c>
      <c r="G103" s="83" t="n">
        <f aca="false">G86*Assumptions!$B$33+G87*Assumptions!$B$34+G88*Assumptions!$B$35</f>
        <v>938.42028</v>
      </c>
      <c r="H103" s="83" t="n">
        <f aca="false">H86*Assumptions!$B$33+H87*Assumptions!$B$34+H88*Assumptions!$B$35</f>
        <v>970.91652</v>
      </c>
      <c r="I103" s="83" t="n">
        <f aca="false">I86*Assumptions!$B$33+I87*Assumptions!$B$34+I88*Assumptions!$B$35</f>
        <v>1347.5816</v>
      </c>
      <c r="J103" s="83" t="n">
        <f aca="false">J86*Assumptions!$B$33+J87*Assumptions!$B$34+J88*Assumptions!$B$35</f>
        <v>1013.09992</v>
      </c>
      <c r="K103" s="83" t="n">
        <f aca="false">K86*Assumptions!$B$33+K87*Assumptions!$B$34+K88*Assumptions!$B$35</f>
        <v>993.10848</v>
      </c>
      <c r="L103" s="83" t="n">
        <f aca="false">L86*Assumptions!$B$33+L87*Assumptions!$B$34+L88*Assumptions!$B$35</f>
        <v>1029.03948</v>
      </c>
      <c r="M103" s="83" t="n">
        <f aca="false">M86*Assumptions!$B$33+M87*Assumptions!$B$34+M88*Assumptions!$B$35</f>
        <v>1683.60136</v>
      </c>
      <c r="N103" s="83" t="n">
        <f aca="false">N86*Assumptions!$B$33+N87*Assumptions!$B$34+N88*Assumptions!$B$35</f>
        <v>1096.8496</v>
      </c>
      <c r="O103" s="83" t="n">
        <f aca="false">O86*Assumptions!$B$33+O87*Assumptions!$B$34+O88*Assumptions!$B$35</f>
        <v>1628.40264</v>
      </c>
      <c r="P103" s="83" t="n">
        <f aca="false">SUM(C103:O103)</f>
        <v>14922.91568</v>
      </c>
    </row>
    <row r="104" customFormat="false" ht="13.5" hidden="false" customHeight="true" outlineLevel="0" collapsed="false">
      <c r="A104" s="78" t="s">
        <v>535</v>
      </c>
      <c r="B104" s="62" t="s">
        <v>274</v>
      </c>
      <c r="C104" s="83" t="n">
        <f aca="false">C88*Assumptions!$B$40+C86*(Assumptions!$B$36+Assumptions!$B$37)</f>
        <v>688.8602</v>
      </c>
      <c r="D104" s="83" t="n">
        <f aca="false">D88*Assumptions!$B$40+D86*(Assumptions!$B$36+Assumptions!$B$37)</f>
        <v>4973.52528</v>
      </c>
      <c r="E104" s="83" t="n">
        <f aca="false">E88*Assumptions!$B$40+E86*(Assumptions!$B$36+Assumptions!$B$37)</f>
        <v>667.10672</v>
      </c>
      <c r="F104" s="83" t="n">
        <f aca="false">F88*Assumptions!$B$40+F86*(Assumptions!$B$36+Assumptions!$B$37)</f>
        <v>652.6044</v>
      </c>
      <c r="G104" s="83" t="n">
        <f aca="false">G88*Assumptions!$B$40+G86*(Assumptions!$B$36+Assumptions!$B$37)</f>
        <v>674.35788</v>
      </c>
      <c r="H104" s="83" t="n">
        <f aca="false">H88*Assumptions!$B$40+H86*(Assumptions!$B$36+Assumptions!$B$37)</f>
        <v>703.36252</v>
      </c>
      <c r="I104" s="83" t="n">
        <f aca="false">I88*Assumptions!$B$40+I86*(Assumptions!$B$36+Assumptions!$B$37)</f>
        <v>4077.436</v>
      </c>
      <c r="J104" s="83" t="n">
        <f aca="false">J88*Assumptions!$B$40+J86*(Assumptions!$B$36+Assumptions!$B$37)</f>
        <v>739.61832</v>
      </c>
      <c r="K104" s="83" t="n">
        <f aca="false">K88*Assumptions!$B$40+K86*(Assumptions!$B$36+Assumptions!$B$37)</f>
        <v>710.61368</v>
      </c>
      <c r="L104" s="83" t="n">
        <f aca="false">L88*Assumptions!$B$40+L86*(Assumptions!$B$36+Assumptions!$B$37)</f>
        <v>746.86948</v>
      </c>
      <c r="M104" s="83" t="n">
        <f aca="false">M88*Assumptions!$B$40+M86*(Assumptions!$B$36+Assumptions!$B$37)</f>
        <v>6635.18296</v>
      </c>
      <c r="N104" s="83" t="n">
        <f aca="false">N88*Assumptions!$B$40+N86*(Assumptions!$B$36+Assumptions!$B$37)</f>
        <v>797.6276</v>
      </c>
      <c r="O104" s="83" t="n">
        <f aca="false">O88*Assumptions!$B$40+O86*(Assumptions!$B$36+Assumptions!$B$37)</f>
        <v>5436.07224</v>
      </c>
      <c r="P104" s="83" t="n">
        <f aca="false">SUM(C104:O104)</f>
        <v>27503.23728</v>
      </c>
    </row>
    <row r="105" customFormat="false" ht="13.5" hidden="false" customHeight="true" outlineLevel="0" collapsed="false">
      <c r="A105" s="78" t="s">
        <v>536</v>
      </c>
      <c r="B105" s="62" t="s">
        <v>537</v>
      </c>
      <c r="C105" s="83" t="n">
        <f aca="false">(Assumptions!$B$60+Assumptions!$B$53)*'13W Cash Flow'!C$66+Assumptions!$B$59*'13W Cash Flow'!C$68+Assumptions!$B$62*'13W Cash Flow'!C$64</f>
        <v>0</v>
      </c>
      <c r="D105" s="83" t="n">
        <f aca="false">(Assumptions!$B$60+Assumptions!$B$53)*'13W Cash Flow'!D$66+Assumptions!$B$59*'13W Cash Flow'!D$68+Assumptions!$B$62*'13W Cash Flow'!D$64</f>
        <v>2000</v>
      </c>
      <c r="E105" s="83" t="n">
        <f aca="false">(Assumptions!$B$60+Assumptions!$B$53)*'13W Cash Flow'!E$66+Assumptions!$B$59*'13W Cash Flow'!E$68+Assumptions!$B$62*'13W Cash Flow'!E$64</f>
        <v>1800</v>
      </c>
      <c r="F105" s="83" t="n">
        <f aca="false">(Assumptions!$B$60+Assumptions!$B$53)*'13W Cash Flow'!F$66+Assumptions!$B$59*'13W Cash Flow'!F$68+Assumptions!$B$62*'13W Cash Flow'!F$64</f>
        <v>0</v>
      </c>
      <c r="G105" s="83" t="n">
        <f aca="false">(Assumptions!$B$60+Assumptions!$B$53)*'13W Cash Flow'!G$66+Assumptions!$B$59*'13W Cash Flow'!G$68+Assumptions!$B$62*'13W Cash Flow'!G$64</f>
        <v>1500</v>
      </c>
      <c r="H105" s="83" t="n">
        <f aca="false">(Assumptions!$B$60+Assumptions!$B$53)*'13W Cash Flow'!H$66+Assumptions!$B$59*'13W Cash Flow'!H$68+Assumptions!$B$62*'13W Cash Flow'!H$64</f>
        <v>2000</v>
      </c>
      <c r="I105" s="83" t="n">
        <f aca="false">(Assumptions!$B$60+Assumptions!$B$53)*'13W Cash Flow'!I$66+Assumptions!$B$59*'13W Cash Flow'!I$68+Assumptions!$B$62*'13W Cash Flow'!I$64</f>
        <v>1800</v>
      </c>
      <c r="J105" s="83" t="n">
        <f aca="false">(Assumptions!$B$60+Assumptions!$B$53)*'13W Cash Flow'!J$66+Assumptions!$B$59*'13W Cash Flow'!J$68+Assumptions!$B$62*'13W Cash Flow'!J$64</f>
        <v>0</v>
      </c>
      <c r="K105" s="83" t="n">
        <f aca="false">(Assumptions!$B$60+Assumptions!$B$53)*'13W Cash Flow'!K$66+Assumptions!$B$59*'13W Cash Flow'!K$68+Assumptions!$B$62*'13W Cash Flow'!K$64</f>
        <v>1500</v>
      </c>
      <c r="L105" s="83" t="n">
        <f aca="false">(Assumptions!$B$60+Assumptions!$B$53)*'13W Cash Flow'!L$66+Assumptions!$B$59*'13W Cash Flow'!L$68+Assumptions!$B$62*'13W Cash Flow'!L$64</f>
        <v>2000</v>
      </c>
      <c r="M105" s="83" t="n">
        <f aca="false">(Assumptions!$B$60+Assumptions!$B$53)*'13W Cash Flow'!M$66+Assumptions!$B$59*'13W Cash Flow'!M$68+Assumptions!$B$62*'13W Cash Flow'!M$64</f>
        <v>0</v>
      </c>
      <c r="N105" s="83" t="n">
        <f aca="false">(Assumptions!$B$60+Assumptions!$B$53)*'13W Cash Flow'!N$66+Assumptions!$B$59*'13W Cash Flow'!N$68+Assumptions!$B$62*'13W Cash Flow'!N$64</f>
        <v>1800</v>
      </c>
      <c r="O105" s="83" t="n">
        <f aca="false">(Assumptions!$B$60+Assumptions!$B$53)*'13W Cash Flow'!O$66+Assumptions!$B$59*'13W Cash Flow'!O$68+Assumptions!$B$62*'13W Cash Flow'!O$64</f>
        <v>1500</v>
      </c>
      <c r="P105" s="83" t="n">
        <f aca="false">SUM(C105:O105)</f>
        <v>15900</v>
      </c>
    </row>
    <row r="106" customFormat="false" ht="13.5" hidden="false" customHeight="true" outlineLevel="0" collapsed="false">
      <c r="A106" s="78" t="s">
        <v>538</v>
      </c>
      <c r="B106" s="62" t="s">
        <v>539</v>
      </c>
      <c r="C106" s="83" t="n">
        <f aca="false">IF(C84=Assumptions!$B$88,Assumptions!$B$87,0)+Assumptions!$B$86*'13W Cash Flow'!C$65</f>
        <v>4200</v>
      </c>
      <c r="D106" s="83" t="n">
        <f aca="false">IF(D84=Assumptions!$B$88,Assumptions!$B$87,0)+Assumptions!$B$86*'13W Cash Flow'!D$65</f>
        <v>0</v>
      </c>
      <c r="E106" s="83" t="n">
        <f aca="false">IF(E84=Assumptions!$B$88,Assumptions!$B$87,0)+Assumptions!$B$86*'13W Cash Flow'!E$65</f>
        <v>0</v>
      </c>
      <c r="F106" s="83" t="n">
        <f aca="false">IF(F84=Assumptions!$B$88,Assumptions!$B$87,0)+Assumptions!$B$86*'13W Cash Flow'!F$65</f>
        <v>0</v>
      </c>
      <c r="G106" s="83" t="n">
        <f aca="false">IF(G84=Assumptions!$B$88,Assumptions!$B$87,0)+Assumptions!$B$86*'13W Cash Flow'!G$65</f>
        <v>4200</v>
      </c>
      <c r="H106" s="83" t="n">
        <f aca="false">IF(H84=Assumptions!$B$88,Assumptions!$B$87,0)+Assumptions!$B$86*'13W Cash Flow'!H$65</f>
        <v>0</v>
      </c>
      <c r="I106" s="83" t="n">
        <f aca="false">IF(I84=Assumptions!$B$88,Assumptions!$B$87,0)+Assumptions!$B$86*'13W Cash Flow'!I$65</f>
        <v>0</v>
      </c>
      <c r="J106" s="83" t="n">
        <f aca="false">IF(J84=Assumptions!$B$88,Assumptions!$B$87,0)+Assumptions!$B$86*'13W Cash Flow'!J$65</f>
        <v>0</v>
      </c>
      <c r="K106" s="83" t="n">
        <f aca="false">IF(K84=Assumptions!$B$88,Assumptions!$B$87,0)+Assumptions!$B$86*'13W Cash Flow'!K$65</f>
        <v>26500</v>
      </c>
      <c r="L106" s="83" t="n">
        <f aca="false">IF(L84=Assumptions!$B$88,Assumptions!$B$87,0)+Assumptions!$B$86*'13W Cash Flow'!L$65</f>
        <v>4200</v>
      </c>
      <c r="M106" s="83" t="n">
        <f aca="false">IF(M84=Assumptions!$B$88,Assumptions!$B$87,0)+Assumptions!$B$86*'13W Cash Flow'!M$65</f>
        <v>0</v>
      </c>
      <c r="N106" s="83" t="n">
        <f aca="false">IF(N84=Assumptions!$B$88,Assumptions!$B$87,0)+Assumptions!$B$86*'13W Cash Flow'!N$65</f>
        <v>0</v>
      </c>
      <c r="O106" s="83" t="n">
        <f aca="false">IF(O84=Assumptions!$B$88,Assumptions!$B$87,0)+Assumptions!$B$86*'13W Cash Flow'!O$65</f>
        <v>0</v>
      </c>
      <c r="P106" s="83" t="n">
        <f aca="false">SUM(C106:O106)</f>
        <v>39100</v>
      </c>
    </row>
    <row r="107" customFormat="false" ht="13.5" hidden="false" customHeight="true" outlineLevel="0" collapsed="false">
      <c r="A107" s="78" t="s">
        <v>466</v>
      </c>
      <c r="B107" s="62" t="s">
        <v>540</v>
      </c>
      <c r="C107" s="83" t="n">
        <f aca="false">IF(C84=$C$16,$C$14*$C$15,0)+IF(C84=$C$17,$C$14*(1-$C$15),0)</f>
        <v>0</v>
      </c>
      <c r="D107" s="83" t="n">
        <f aca="false">IF(D84=$C$16,$C$14*$C$15,0)+IF(D84=$C$17,$C$14*(1-$C$15),0)</f>
        <v>0</v>
      </c>
      <c r="E107" s="83" t="n">
        <f aca="false">IF(E84=$C$16,$C$14*$C$15,0)+IF(E84=$C$17,$C$14*(1-$C$15),0)</f>
        <v>0</v>
      </c>
      <c r="F107" s="83" t="n">
        <f aca="false">IF(F84=$C$16,$C$14*$C$15,0)+IF(F84=$C$17,$C$14*(1-$C$15),0)</f>
        <v>0</v>
      </c>
      <c r="G107" s="83" t="n">
        <f aca="false">IF(G84=$C$16,$C$14*$C$15,0)+IF(G84=$C$17,$C$14*(1-$C$15),0)</f>
        <v>0</v>
      </c>
      <c r="H107" s="83" t="n">
        <f aca="false">IF(H84=$C$16,$C$14*$C$15,0)+IF(H84=$C$17,$C$14*(1-$C$15),0)</f>
        <v>0</v>
      </c>
      <c r="I107" s="83" t="n">
        <f aca="false">IF(I84=$C$16,$C$14*$C$15,0)+IF(I84=$C$17,$C$14*(1-$C$15),0)</f>
        <v>0</v>
      </c>
      <c r="J107" s="83" t="n">
        <f aca="false">IF(J84=$C$16,$C$14*$C$15,0)+IF(J84=$C$17,$C$14*(1-$C$15),0)</f>
        <v>0</v>
      </c>
      <c r="K107" s="83" t="n">
        <f aca="false">IF(K84=$C$16,$C$14*$C$15,0)+IF(K84=$C$17,$C$14*(1-$C$15),0)</f>
        <v>0</v>
      </c>
      <c r="L107" s="83" t="n">
        <f aca="false">IF(L84=$C$16,$C$14*$C$15,0)+IF(L84=$C$17,$C$14*(1-$C$15),0)</f>
        <v>0</v>
      </c>
      <c r="M107" s="83" t="n">
        <f aca="false">IF(M84=$C$16,$C$14*$C$15,0)+IF(M84=$C$17,$C$14*(1-$C$15),0)</f>
        <v>0</v>
      </c>
      <c r="N107" s="83" t="n">
        <f aca="false">IF(N84=$C$16,$C$14*$C$15,0)+IF(N84=$C$17,$C$14*(1-$C$15),0)</f>
        <v>0</v>
      </c>
      <c r="O107" s="83" t="n">
        <f aca="false">IF(O84=$C$16,$C$14*$C$15,0)+IF(O84=$C$17,$C$14*(1-$C$15),0)</f>
        <v>0</v>
      </c>
      <c r="P107" s="83" t="n">
        <f aca="false">SUM(C107:O107)</f>
        <v>0</v>
      </c>
    </row>
    <row r="108" customFormat="false" ht="13.5" hidden="false" customHeight="true" outlineLevel="0" collapsed="false">
      <c r="A108" s="81" t="s">
        <v>292</v>
      </c>
      <c r="B108" s="23"/>
      <c r="C108" s="145" t="n">
        <f aca="false">SUM(C98:C107)</f>
        <v>20192.40204</v>
      </c>
      <c r="D108" s="145" t="n">
        <f aca="false">SUM(D98:D107)</f>
        <v>90574.266576</v>
      </c>
      <c r="E108" s="145" t="n">
        <f aca="false">SUM(E98:E107)</f>
        <v>17511.813924</v>
      </c>
      <c r="F108" s="145" t="n">
        <f aca="false">SUM(F98:F107)</f>
        <v>15488.39548</v>
      </c>
      <c r="G108" s="145" t="n">
        <f aca="false">SUM(G98:G107)</f>
        <v>135376.831396</v>
      </c>
      <c r="H108" s="145" t="n">
        <f aca="false">SUM(H98:H107)</f>
        <v>23582.747384</v>
      </c>
      <c r="I108" s="145" t="n">
        <f aca="false">SUM(I98:I107)</f>
        <v>29017.2818</v>
      </c>
      <c r="J108" s="145" t="n">
        <f aca="false">SUM(J98:J107)</f>
        <v>99335.522644</v>
      </c>
      <c r="K108" s="145" t="n">
        <f aca="false">SUM(K98:K107)</f>
        <v>112578.375356</v>
      </c>
      <c r="L108" s="145" t="n">
        <f aca="false">SUM(L98:L107)</f>
        <v>28760.850516</v>
      </c>
      <c r="M108" s="145" t="n">
        <f aca="false">SUM(M98:M107)</f>
        <v>87090.304032</v>
      </c>
      <c r="N108" s="145" t="n">
        <f aca="false">SUM(N98:N107)</f>
        <v>20535.81292</v>
      </c>
      <c r="O108" s="145" t="n">
        <f aca="false">SUM(O98:O107)</f>
        <v>98994.661008</v>
      </c>
      <c r="P108" s="145" t="n">
        <f aca="false">SUM(C108:O108)</f>
        <v>779039.265076</v>
      </c>
    </row>
    <row r="109" customFormat="false" ht="13.5" hidden="false" customHeight="true" outlineLevel="0" collapsed="false">
      <c r="A109" s="81" t="s">
        <v>506</v>
      </c>
      <c r="B109" s="23"/>
      <c r="C109" s="146" t="n">
        <f aca="false">C97-C108</f>
        <v>24516.48596</v>
      </c>
      <c r="D109" s="146" t="n">
        <f aca="false">D97-D108</f>
        <v>-19009.879376</v>
      </c>
      <c r="E109" s="146" t="n">
        <f aca="false">E97-E108</f>
        <v>26771.535676</v>
      </c>
      <c r="F109" s="146" t="n">
        <f aca="false">F97-F108</f>
        <v>27725.27572</v>
      </c>
      <c r="G109" s="146" t="n">
        <f aca="false">G97-G108</f>
        <v>-91186.128196</v>
      </c>
      <c r="H109" s="146" t="n">
        <f aca="false">H97-H108</f>
        <v>22254.910216</v>
      </c>
      <c r="I109" s="146" t="n">
        <f aca="false">I97-I108</f>
        <v>36220.8914</v>
      </c>
      <c r="J109" s="146" t="n">
        <f aca="false">J97-J108</f>
        <v>-51948.193844</v>
      </c>
      <c r="K109" s="146" t="n">
        <f aca="false">K97-K108</f>
        <v>-65816.462956</v>
      </c>
      <c r="L109" s="146" t="n">
        <f aca="false">L97-L108</f>
        <v>19500.061484</v>
      </c>
      <c r="M109" s="146" t="n">
        <f aca="false">M97-M108</f>
        <v>-4694.44083200002</v>
      </c>
      <c r="N109" s="146" t="n">
        <f aca="false">N97-N108</f>
        <v>30750.15468</v>
      </c>
      <c r="O109" s="146" t="n">
        <f aca="false">O97-O108</f>
        <v>-20433.993408</v>
      </c>
      <c r="P109" s="146" t="n">
        <f aca="false">SUM(C109:O109)</f>
        <v>-65349.783476</v>
      </c>
    </row>
    <row r="110" customFormat="false" ht="13.5" hidden="false" customHeight="true" outlineLevel="0" collapsed="false">
      <c r="A110" s="78" t="s">
        <v>507</v>
      </c>
      <c r="B110" s="62" t="s">
        <v>251</v>
      </c>
      <c r="C110" s="83" t="n">
        <f aca="false">Assumptions!$B$12</f>
        <v>205000</v>
      </c>
      <c r="D110" s="83" t="n">
        <f aca="false">C111</f>
        <v>229516.48596</v>
      </c>
      <c r="E110" s="83" t="n">
        <f aca="false">D111</f>
        <v>210506.606584</v>
      </c>
      <c r="F110" s="83" t="n">
        <f aca="false">E111</f>
        <v>237278.14226</v>
      </c>
      <c r="G110" s="83" t="n">
        <f aca="false">F111</f>
        <v>265003.41798</v>
      </c>
      <c r="H110" s="83" t="n">
        <f aca="false">G111</f>
        <v>173817.289784</v>
      </c>
      <c r="I110" s="83" t="n">
        <f aca="false">H111</f>
        <v>196072.2</v>
      </c>
      <c r="J110" s="83" t="n">
        <f aca="false">I111</f>
        <v>232293.0914</v>
      </c>
      <c r="K110" s="83" t="n">
        <f aca="false">J111</f>
        <v>180344.897556</v>
      </c>
      <c r="L110" s="83" t="n">
        <f aca="false">K111</f>
        <v>114528.4346</v>
      </c>
      <c r="M110" s="83" t="n">
        <f aca="false">L111</f>
        <v>134028.496084</v>
      </c>
      <c r="N110" s="83" t="n">
        <f aca="false">M111</f>
        <v>129334.055252</v>
      </c>
      <c r="O110" s="83" t="n">
        <f aca="false">N111</f>
        <v>160084.209932</v>
      </c>
      <c r="P110" s="3"/>
    </row>
    <row r="111" customFormat="false" ht="13.5" hidden="false" customHeight="true" outlineLevel="0" collapsed="false">
      <c r="A111" s="81" t="s">
        <v>295</v>
      </c>
      <c r="B111" s="23"/>
      <c r="C111" s="147" t="n">
        <f aca="false">C110+C109</f>
        <v>229516.48596</v>
      </c>
      <c r="D111" s="147" t="n">
        <f aca="false">D110+D109</f>
        <v>210506.606584</v>
      </c>
      <c r="E111" s="147" t="n">
        <f aca="false">E110+E109</f>
        <v>237278.14226</v>
      </c>
      <c r="F111" s="147" t="n">
        <f aca="false">F110+F109</f>
        <v>265003.41798</v>
      </c>
      <c r="G111" s="147" t="n">
        <f aca="false">G110+G109</f>
        <v>173817.289784</v>
      </c>
      <c r="H111" s="147" t="n">
        <f aca="false">H110+H109</f>
        <v>196072.2</v>
      </c>
      <c r="I111" s="147" t="n">
        <f aca="false">I110+I109</f>
        <v>232293.0914</v>
      </c>
      <c r="J111" s="147" t="n">
        <f aca="false">J110+J109</f>
        <v>180344.897556</v>
      </c>
      <c r="K111" s="147" t="n">
        <f aca="false">K110+K109</f>
        <v>114528.4346</v>
      </c>
      <c r="L111" s="147" t="n">
        <f aca="false">L110+L109</f>
        <v>134028.496084</v>
      </c>
      <c r="M111" s="147" t="n">
        <f aca="false">M110+M109</f>
        <v>129334.055252</v>
      </c>
      <c r="N111" s="147" t="n">
        <f aca="false">N110+N109</f>
        <v>160084.209932</v>
      </c>
      <c r="O111" s="147" t="n">
        <f aca="false">O110+O109</f>
        <v>139650.216524</v>
      </c>
      <c r="P111" s="3"/>
    </row>
    <row r="112" customFormat="false" ht="13.5" hidden="false" customHeight="true" outlineLevel="0" collapsed="false">
      <c r="A112" s="78" t="s">
        <v>541</v>
      </c>
      <c r="B112" s="23"/>
      <c r="C112" s="83" t="n">
        <f aca="false">C111-Assumptions!$B$13</f>
        <v>109516.48596</v>
      </c>
      <c r="D112" s="83" t="n">
        <f aca="false">D111-Assumptions!$B$13</f>
        <v>90506.606584</v>
      </c>
      <c r="E112" s="83" t="n">
        <f aca="false">E111-Assumptions!$B$13</f>
        <v>117278.14226</v>
      </c>
      <c r="F112" s="83" t="n">
        <f aca="false">F111-Assumptions!$B$13</f>
        <v>145003.41798</v>
      </c>
      <c r="G112" s="83" t="n">
        <f aca="false">G111-Assumptions!$B$13</f>
        <v>53817.289784</v>
      </c>
      <c r="H112" s="83" t="n">
        <f aca="false">H111-Assumptions!$B$13</f>
        <v>76072.2</v>
      </c>
      <c r="I112" s="83" t="n">
        <f aca="false">I111-Assumptions!$B$13</f>
        <v>112293.0914</v>
      </c>
      <c r="J112" s="83" t="n">
        <f aca="false">J111-Assumptions!$B$13</f>
        <v>60344.897556</v>
      </c>
      <c r="K112" s="83" t="n">
        <f aca="false">K111-Assumptions!$B$13</f>
        <v>-5471.56540000002</v>
      </c>
      <c r="L112" s="83" t="n">
        <f aca="false">L111-Assumptions!$B$13</f>
        <v>14028.496084</v>
      </c>
      <c r="M112" s="83" t="n">
        <f aca="false">M111-Assumptions!$B$13</f>
        <v>9334.05525199996</v>
      </c>
      <c r="N112" s="83" t="n">
        <f aca="false">N111-Assumptions!$B$13</f>
        <v>40084.209932</v>
      </c>
      <c r="O112" s="83" t="n">
        <f aca="false">O111-Assumptions!$B$13</f>
        <v>19650.216524</v>
      </c>
      <c r="P112" s="3"/>
    </row>
    <row r="113" customFormat="false" ht="15" hidden="false" customHeight="true" outlineLevel="0" collapsed="false">
      <c r="A113" s="3"/>
      <c r="B113" s="3"/>
      <c r="C113" s="3"/>
      <c r="D113" s="3"/>
      <c r="E113" s="3"/>
      <c r="F113" s="3"/>
      <c r="G113" s="3"/>
      <c r="H113" s="3"/>
      <c r="I113" s="3"/>
      <c r="J113" s="3"/>
      <c r="K113" s="3"/>
      <c r="L113" s="3"/>
      <c r="M113" s="3"/>
      <c r="N113" s="3"/>
      <c r="O113" s="3"/>
      <c r="P113" s="3"/>
    </row>
    <row r="114" customFormat="false" ht="15" hidden="false" customHeight="true" outlineLevel="0" collapsed="false">
      <c r="A114" s="3"/>
      <c r="B114" s="3"/>
      <c r="C114" s="3"/>
      <c r="D114" s="3"/>
      <c r="E114" s="3"/>
      <c r="F114" s="3"/>
      <c r="G114" s="3"/>
      <c r="H114" s="3"/>
      <c r="I114" s="3"/>
      <c r="J114" s="3"/>
      <c r="K114" s="3"/>
      <c r="L114" s="3"/>
      <c r="M114" s="3"/>
      <c r="N114" s="3"/>
      <c r="O114" s="3"/>
      <c r="P114" s="3"/>
    </row>
    <row r="115" customFormat="false" ht="18" hidden="false" customHeight="true" outlineLevel="0" collapsed="false">
      <c r="A115" s="14" t="s">
        <v>542</v>
      </c>
      <c r="B115" s="14"/>
      <c r="C115" s="14"/>
      <c r="D115" s="14"/>
      <c r="E115" s="14"/>
      <c r="F115" s="14"/>
      <c r="G115" s="14"/>
      <c r="H115" s="14"/>
      <c r="I115" s="14"/>
      <c r="J115" s="14"/>
      <c r="K115" s="14"/>
      <c r="L115" s="14"/>
      <c r="M115" s="14"/>
      <c r="N115" s="14"/>
      <c r="O115" s="14"/>
      <c r="P115" s="14"/>
    </row>
    <row r="116" customFormat="false" ht="21.75" hidden="false" customHeight="true" outlineLevel="0" collapsed="false">
      <c r="A116" s="141" t="s">
        <v>77</v>
      </c>
      <c r="B116" s="141" t="s">
        <v>196</v>
      </c>
      <c r="C116" s="142" t="s">
        <v>198</v>
      </c>
      <c r="D116" s="142" t="s">
        <v>199</v>
      </c>
      <c r="E116" s="142" t="s">
        <v>200</v>
      </c>
      <c r="F116" s="142" t="s">
        <v>201</v>
      </c>
      <c r="G116" s="142" t="s">
        <v>202</v>
      </c>
      <c r="H116" s="142" t="s">
        <v>203</v>
      </c>
      <c r="I116" s="142" t="s">
        <v>204</v>
      </c>
      <c r="J116" s="142" t="s">
        <v>205</v>
      </c>
      <c r="K116" s="142" t="s">
        <v>206</v>
      </c>
      <c r="L116" s="142" t="s">
        <v>207</v>
      </c>
      <c r="M116" s="142" t="s">
        <v>208</v>
      </c>
      <c r="N116" s="142" t="s">
        <v>209</v>
      </c>
      <c r="O116" s="142" t="s">
        <v>210</v>
      </c>
      <c r="P116" s="143" t="s">
        <v>245</v>
      </c>
    </row>
    <row r="117" customFormat="false" ht="13.5" hidden="false" customHeight="true" outlineLevel="0" collapsed="false">
      <c r="A117" s="78" t="s">
        <v>247</v>
      </c>
      <c r="B117" s="23"/>
      <c r="C117" s="144" t="n">
        <f aca="false">'13W Cash Flow'!C$5</f>
        <v>1</v>
      </c>
      <c r="D117" s="144" t="n">
        <f aca="false">'13W Cash Flow'!D$5</f>
        <v>2</v>
      </c>
      <c r="E117" s="144" t="n">
        <f aca="false">'13W Cash Flow'!E$5</f>
        <v>3</v>
      </c>
      <c r="F117" s="144" t="n">
        <f aca="false">'13W Cash Flow'!F$5</f>
        <v>4</v>
      </c>
      <c r="G117" s="144" t="n">
        <f aca="false">'13W Cash Flow'!G$5</f>
        <v>5</v>
      </c>
      <c r="H117" s="144" t="n">
        <f aca="false">'13W Cash Flow'!H$5</f>
        <v>6</v>
      </c>
      <c r="I117" s="144" t="n">
        <f aca="false">'13W Cash Flow'!I$5</f>
        <v>7</v>
      </c>
      <c r="J117" s="144" t="n">
        <f aca="false">'13W Cash Flow'!J$5</f>
        <v>8</v>
      </c>
      <c r="K117" s="144" t="n">
        <f aca="false">'13W Cash Flow'!K$5</f>
        <v>9</v>
      </c>
      <c r="L117" s="144" t="n">
        <f aca="false">'13W Cash Flow'!L$5</f>
        <v>10</v>
      </c>
      <c r="M117" s="144" t="n">
        <f aca="false">'13W Cash Flow'!M$5</f>
        <v>11</v>
      </c>
      <c r="N117" s="144" t="n">
        <f aca="false">'13W Cash Flow'!N$5</f>
        <v>12</v>
      </c>
      <c r="O117" s="144" t="n">
        <f aca="false">'13W Cash Flow'!O$5</f>
        <v>13</v>
      </c>
      <c r="P117" s="3"/>
    </row>
    <row r="118" customFormat="false" ht="13.5" hidden="false" customHeight="true" outlineLevel="0" collapsed="false">
      <c r="A118" s="78" t="s">
        <v>522</v>
      </c>
      <c r="B118" s="62" t="s">
        <v>523</v>
      </c>
      <c r="C118" s="144" t="n">
        <f aca="false">IF(OR($D$13=0,C$117&lt;=$D$13),1,0)</f>
        <v>1</v>
      </c>
      <c r="D118" s="144" t="n">
        <f aca="false">IF(OR($D$13=0,D$117&lt;=$D$13),1,0)</f>
        <v>1</v>
      </c>
      <c r="E118" s="144" t="n">
        <f aca="false">IF(OR($D$13=0,E$117&lt;=$D$13),1,0)</f>
        <v>1</v>
      </c>
      <c r="F118" s="144" t="n">
        <f aca="false">IF(OR($D$13=0,F$117&lt;=$D$13),1,0)</f>
        <v>1</v>
      </c>
      <c r="G118" s="144" t="n">
        <f aca="false">IF(OR($D$13=0,G$117&lt;=$D$13),1,0)</f>
        <v>1</v>
      </c>
      <c r="H118" s="144" t="n">
        <f aca="false">IF(OR($D$13=0,H$117&lt;=$D$13),1,0)</f>
        <v>1</v>
      </c>
      <c r="I118" s="144" t="n">
        <f aca="false">IF(OR($D$13=0,I$117&lt;=$D$13),1,0)</f>
        <v>1</v>
      </c>
      <c r="J118" s="144" t="n">
        <f aca="false">IF(OR($D$13=0,J$117&lt;=$D$13),1,0)</f>
        <v>1</v>
      </c>
      <c r="K118" s="144" t="n">
        <f aca="false">IF(OR($D$13=0,K$117&lt;=$D$13),1,0)</f>
        <v>1</v>
      </c>
      <c r="L118" s="144" t="n">
        <f aca="false">IF(OR($D$13=0,L$117&lt;=$D$13),1,0)</f>
        <v>1</v>
      </c>
      <c r="M118" s="144" t="n">
        <f aca="false">IF(OR($D$13=0,M$117&lt;=$D$13),1,0)</f>
        <v>1</v>
      </c>
      <c r="N118" s="144" t="n">
        <f aca="false">IF(OR($D$13=0,N$117&lt;=$D$13),1,0)</f>
        <v>1</v>
      </c>
      <c r="O118" s="144" t="n">
        <f aca="false">IF(OR($D$13=0,O$117&lt;=$D$13),1,0)</f>
        <v>1</v>
      </c>
      <c r="P118" s="3"/>
    </row>
    <row r="119" customFormat="false" ht="13.5" hidden="false" customHeight="true" outlineLevel="0" collapsed="false">
      <c r="A119" s="78" t="s">
        <v>388</v>
      </c>
      <c r="B119" s="62" t="s">
        <v>524</v>
      </c>
      <c r="C119" s="83" t="n">
        <f aca="false">'13W Cash Flow'!C$72*(1+$D$6)*C118</f>
        <v>19215.574</v>
      </c>
      <c r="D119" s="83" t="n">
        <f aca="false">'13W Cash Flow'!D$72*(1+$D$6)*D118</f>
        <v>21845.0736</v>
      </c>
      <c r="E119" s="83" t="n">
        <f aca="false">'13W Cash Flow'!E$72*(1+$D$6)*E118</f>
        <v>18608.7664</v>
      </c>
      <c r="F119" s="83" t="n">
        <f aca="false">'13W Cash Flow'!F$72*(1+$D$6)*F118</f>
        <v>18204.228</v>
      </c>
      <c r="G119" s="83" t="n">
        <f aca="false">'13W Cash Flow'!G$72*(1+$D$6)*G118</f>
        <v>18811.0356</v>
      </c>
      <c r="H119" s="83" t="n">
        <f aca="false">'13W Cash Flow'!H$72*(1+$D$6)*H118</f>
        <v>19620.1124</v>
      </c>
      <c r="I119" s="83" t="n">
        <f aca="false">'13W Cash Flow'!I$72*(1+$D$6)*I118</f>
        <v>20226.92</v>
      </c>
      <c r="J119" s="83" t="n">
        <f aca="false">'13W Cash Flow'!J$72*(1+$D$6)*J118</f>
        <v>20631.4584</v>
      </c>
      <c r="K119" s="83" t="n">
        <f aca="false">'13W Cash Flow'!K$72*(1+$D$6)*K118</f>
        <v>19822.3816</v>
      </c>
      <c r="L119" s="83" t="n">
        <f aca="false">'13W Cash Flow'!L$72*(1+$D$6)*L118</f>
        <v>20833.7276</v>
      </c>
      <c r="M119" s="83" t="n">
        <f aca="false">'13W Cash Flow'!M$72*(1+$D$6)*M118</f>
        <v>21440.5352</v>
      </c>
      <c r="N119" s="83" t="n">
        <f aca="false">'13W Cash Flow'!N$72*(1+$D$6)*N118</f>
        <v>22249.612</v>
      </c>
      <c r="O119" s="83" t="n">
        <f aca="false">'13W Cash Flow'!O$72*(1+$D$6)*O118</f>
        <v>23058.6888</v>
      </c>
      <c r="P119" s="83" t="n">
        <f aca="false">SUM(C119:O119)</f>
        <v>264568.1136</v>
      </c>
    </row>
    <row r="120" customFormat="false" ht="13.5" hidden="false" customHeight="true" outlineLevel="0" collapsed="false">
      <c r="A120" s="78" t="s">
        <v>480</v>
      </c>
      <c r="B120" s="62" t="s">
        <v>525</v>
      </c>
      <c r="C120" s="83" t="n">
        <f aca="false">'13W Cash Flow'!C$73*(1+$D$10)+'13W Cash Flow'!C$72*(1-C118)*$D$11</f>
        <v>21331.464</v>
      </c>
      <c r="D120" s="83" t="n">
        <f aca="false">'13W Cash Flow'!D$73*(1+$D$10)+'13W Cash Flow'!D$72*(1-D118)*$D$11</f>
        <v>23090.76</v>
      </c>
      <c r="E120" s="83" t="n">
        <f aca="false">'13W Cash Flow'!E$73*(1+$D$10)+'13W Cash Flow'!E$72*(1-E118)*$D$11</f>
        <v>21111.552</v>
      </c>
      <c r="F120" s="83" t="n">
        <f aca="false">'13W Cash Flow'!F$73*(1+$D$10)+'13W Cash Flow'!F$72*(1-F118)*$D$11</f>
        <v>20891.64</v>
      </c>
      <c r="G120" s="83" t="n">
        <f aca="false">'13W Cash Flow'!G$73*(1+$D$10)+'13W Cash Flow'!G$72*(1-G118)*$D$11</f>
        <v>21771.288</v>
      </c>
      <c r="H120" s="83" t="n">
        <f aca="false">'13W Cash Flow'!H$73*(1+$D$10)+'13W Cash Flow'!H$72*(1-H118)*$D$11</f>
        <v>22431.024</v>
      </c>
      <c r="I120" s="83" t="n">
        <f aca="false">'13W Cash Flow'!I$73*(1+$D$10)+'13W Cash Flow'!I$72*(1-I118)*$D$11</f>
        <v>22870.848</v>
      </c>
      <c r="J120" s="83" t="n">
        <f aca="false">'13W Cash Flow'!J$73*(1+$D$10)+'13W Cash Flow'!J$72*(1-J118)*$D$11</f>
        <v>23310.672</v>
      </c>
      <c r="K120" s="83" t="n">
        <f aca="false">'13W Cash Flow'!K$73*(1+$D$10)+'13W Cash Flow'!K$72*(1-K118)*$D$11</f>
        <v>23090.76</v>
      </c>
      <c r="L120" s="83" t="n">
        <f aca="false">'13W Cash Flow'!L$73*(1+$D$10)+'13W Cash Flow'!L$72*(1-L118)*$D$11</f>
        <v>23750.496</v>
      </c>
      <c r="M120" s="83" t="n">
        <f aca="false">'13W Cash Flow'!M$73*(1+$D$10)+'13W Cash Flow'!M$72*(1-M118)*$D$11</f>
        <v>24630.144</v>
      </c>
      <c r="N120" s="83" t="n">
        <f aca="false">'13W Cash Flow'!N$73*(1+$D$10)+'13W Cash Flow'!N$72*(1-N118)*$D$11</f>
        <v>25289.88</v>
      </c>
      <c r="O120" s="83" t="n">
        <f aca="false">'13W Cash Flow'!O$73*(1+$D$10)+'13W Cash Flow'!O$72*(1-O118)*$D$11</f>
        <v>26389.44</v>
      </c>
      <c r="P120" s="83" t="n">
        <f aca="false">SUM(C120:O120)</f>
        <v>299959.968</v>
      </c>
    </row>
    <row r="121" customFormat="false" ht="13.5" hidden="false" customHeight="true" outlineLevel="0" collapsed="false">
      <c r="A121" s="78" t="s">
        <v>481</v>
      </c>
      <c r="B121" s="62" t="s">
        <v>526</v>
      </c>
      <c r="C121" s="83" t="n">
        <f aca="false">'13W Cash Flow'!C$74</f>
        <v>0</v>
      </c>
      <c r="D121" s="83" t="n">
        <f aca="false">'13W Cash Flow'!D$74</f>
        <v>23280</v>
      </c>
      <c r="E121" s="83" t="n">
        <f aca="false">'13W Cash Flow'!E$74</f>
        <v>0</v>
      </c>
      <c r="F121" s="83" t="n">
        <f aca="false">'13W Cash Flow'!F$74</f>
        <v>0</v>
      </c>
      <c r="G121" s="83" t="n">
        <f aca="false">'13W Cash Flow'!G$74</f>
        <v>0</v>
      </c>
      <c r="H121" s="83" t="n">
        <f aca="false">'13W Cash Flow'!H$74</f>
        <v>0</v>
      </c>
      <c r="I121" s="83" t="n">
        <f aca="false">'13W Cash Flow'!I$74</f>
        <v>18624</v>
      </c>
      <c r="J121" s="83" t="n">
        <f aca="false">'13W Cash Flow'!J$74</f>
        <v>0</v>
      </c>
      <c r="K121" s="83" t="n">
        <f aca="false">'13W Cash Flow'!K$74</f>
        <v>0</v>
      </c>
      <c r="L121" s="83" t="n">
        <f aca="false">'13W Cash Flow'!L$74</f>
        <v>0</v>
      </c>
      <c r="M121" s="83" t="n">
        <f aca="false">'13W Cash Flow'!M$74</f>
        <v>32592</v>
      </c>
      <c r="N121" s="83" t="n">
        <f aca="false">'13W Cash Flow'!N$74</f>
        <v>0</v>
      </c>
      <c r="O121" s="83" t="n">
        <f aca="false">'13W Cash Flow'!O$74</f>
        <v>25608</v>
      </c>
      <c r="P121" s="83" t="n">
        <f aca="false">SUM(C121:O121)</f>
        <v>100104</v>
      </c>
    </row>
    <row r="122" customFormat="false" ht="13.5" hidden="false" customHeight="true" outlineLevel="0" collapsed="false">
      <c r="A122" s="78" t="s">
        <v>482</v>
      </c>
      <c r="B122" s="62" t="s">
        <v>526</v>
      </c>
      <c r="C122" s="83" t="n">
        <f aca="false">'13W Cash Flow'!C$75</f>
        <v>7536</v>
      </c>
      <c r="D122" s="83" t="n">
        <f aca="false">'13W Cash Flow'!D$75</f>
        <v>7850</v>
      </c>
      <c r="E122" s="83" t="n">
        <f aca="false">'13W Cash Flow'!E$75</f>
        <v>7457.5</v>
      </c>
      <c r="F122" s="83" t="n">
        <f aca="false">'13W Cash Flow'!F$75</f>
        <v>7379</v>
      </c>
      <c r="G122" s="83" t="n">
        <f aca="false">'13W Cash Flow'!G$75</f>
        <v>7614.5</v>
      </c>
      <c r="H122" s="83" t="n">
        <f aca="false">'13W Cash Flow'!H$75</f>
        <v>7850</v>
      </c>
      <c r="I122" s="83" t="n">
        <f aca="false">'13W Cash Flow'!I$75</f>
        <v>8007</v>
      </c>
      <c r="J122" s="83" t="n">
        <f aca="false">'13W Cash Flow'!J$75</f>
        <v>8085.5</v>
      </c>
      <c r="K122" s="83" t="n">
        <f aca="false">'13W Cash Flow'!K$75</f>
        <v>7928.5</v>
      </c>
      <c r="L122" s="83" t="n">
        <f aca="false">'13W Cash Flow'!L$75</f>
        <v>8242.5</v>
      </c>
      <c r="M122" s="83" t="n">
        <f aca="false">'13W Cash Flow'!M$75</f>
        <v>8478</v>
      </c>
      <c r="N122" s="83" t="n">
        <f aca="false">'13W Cash Flow'!N$75</f>
        <v>8635</v>
      </c>
      <c r="O122" s="83" t="n">
        <f aca="false">'13W Cash Flow'!O$75</f>
        <v>8792</v>
      </c>
      <c r="P122" s="83" t="n">
        <f aca="false">SUM(C122:O122)</f>
        <v>103855.5</v>
      </c>
    </row>
    <row r="123" customFormat="false" ht="13.5" hidden="false" customHeight="true" outlineLevel="0" collapsed="false">
      <c r="A123" s="81" t="s">
        <v>328</v>
      </c>
      <c r="B123" s="23"/>
      <c r="C123" s="145" t="n">
        <f aca="false">SUM(C119:C122)</f>
        <v>48083.038</v>
      </c>
      <c r="D123" s="145" t="n">
        <f aca="false">SUM(D119:D122)</f>
        <v>76065.8336</v>
      </c>
      <c r="E123" s="145" t="n">
        <f aca="false">SUM(E119:E122)</f>
        <v>47177.8184</v>
      </c>
      <c r="F123" s="145" t="n">
        <f aca="false">SUM(F119:F122)</f>
        <v>46474.868</v>
      </c>
      <c r="G123" s="145" t="n">
        <f aca="false">SUM(G119:G122)</f>
        <v>48196.8236</v>
      </c>
      <c r="H123" s="145" t="n">
        <f aca="false">SUM(H119:H122)</f>
        <v>49901.1364</v>
      </c>
      <c r="I123" s="145" t="n">
        <f aca="false">SUM(I119:I122)</f>
        <v>69728.768</v>
      </c>
      <c r="J123" s="145" t="n">
        <f aca="false">SUM(J119:J122)</f>
        <v>52027.6304</v>
      </c>
      <c r="K123" s="145" t="n">
        <f aca="false">SUM(K119:K122)</f>
        <v>50841.6416</v>
      </c>
      <c r="L123" s="145" t="n">
        <f aca="false">SUM(L119:L122)</f>
        <v>52826.7236</v>
      </c>
      <c r="M123" s="145" t="n">
        <f aca="false">SUM(M119:M122)</f>
        <v>87140.6792</v>
      </c>
      <c r="N123" s="145" t="n">
        <f aca="false">SUM(N119:N122)</f>
        <v>56174.492</v>
      </c>
      <c r="O123" s="145" t="n">
        <f aca="false">SUM(O119:O122)</f>
        <v>83848.1288</v>
      </c>
      <c r="P123" s="145" t="n">
        <f aca="false">SUM(C123:O123)</f>
        <v>768487.5816</v>
      </c>
    </row>
    <row r="124" customFormat="false" ht="13.5" hidden="false" customHeight="true" outlineLevel="0" collapsed="false">
      <c r="A124" s="78" t="s">
        <v>330</v>
      </c>
      <c r="B124" s="23"/>
      <c r="C124" s="83" t="n">
        <f aca="false">C119*(1-Assumptions!$B$27-$D$7)+C120*(1-Assumptions!$B$28)+C121*(1-Assumptions!$B$29)+C122*(1-Assumptions!$B$30)</f>
        <v>19329.29307</v>
      </c>
      <c r="D124" s="83" t="n">
        <f aca="false">D119*(1-Assumptions!$B$27-$D$7)+D120*(1-Assumptions!$B$28)+D121*(1-Assumptions!$B$29)+D122*(1-Assumptions!$B$30)</f>
        <v>29604.358808</v>
      </c>
      <c r="E124" s="83" t="n">
        <f aca="false">E119*(1-Assumptions!$B$27-$D$7)+E120*(1-Assumptions!$B$28)+E121*(1-Assumptions!$B$29)+E122*(1-Assumptions!$B$30)</f>
        <v>18964.171192</v>
      </c>
      <c r="F124" s="83" t="n">
        <f aca="false">F119*(1-Assumptions!$B$27-$D$7)+F120*(1-Assumptions!$B$28)+F121*(1-Assumptions!$B$29)+F122*(1-Assumptions!$B$30)</f>
        <v>18680.96834</v>
      </c>
      <c r="G124" s="83" t="n">
        <f aca="false">G119*(1-Assumptions!$B$27-$D$7)+G120*(1-Assumptions!$B$28)+G121*(1-Assumptions!$B$29)+G122*(1-Assumptions!$B$30)</f>
        <v>19372.784618</v>
      </c>
      <c r="H124" s="83" t="n">
        <f aca="false">H119*(1-Assumptions!$B$27-$D$7)+H120*(1-Assumptions!$B$28)+H121*(1-Assumptions!$B$29)+H122*(1-Assumptions!$B$30)</f>
        <v>20058.555122</v>
      </c>
      <c r="I124" s="83" t="n">
        <f aca="false">I119*(1-Assumptions!$B$27-$D$7)+I120*(1-Assumptions!$B$28)+I121*(1-Assumptions!$B$29)+I122*(1-Assumptions!$B$30)</f>
        <v>27247.6818</v>
      </c>
      <c r="J124" s="83" t="n">
        <f aca="false">J119*(1-Assumptions!$B$27-$D$7)+J120*(1-Assumptions!$B$28)+J121*(1-Assumptions!$B$29)+J122*(1-Assumptions!$B$30)</f>
        <v>20914.209452</v>
      </c>
      <c r="K124" s="83" t="n">
        <f aca="false">K119*(1-Assumptions!$B$27-$D$7)+K120*(1-Assumptions!$B$28)+K121*(1-Assumptions!$B$29)+K122*(1-Assumptions!$B$30)</f>
        <v>20435.768548</v>
      </c>
      <c r="L124" s="83" t="n">
        <f aca="false">L119*(1-Assumptions!$B$27-$D$7)+L120*(1-Assumptions!$B$28)+L121*(1-Assumptions!$B$29)+L122*(1-Assumptions!$B$30)</f>
        <v>21234.858078</v>
      </c>
      <c r="M124" s="83" t="n">
        <f aca="false">M119*(1-Assumptions!$B$27-$D$7)+M120*(1-Assumptions!$B$28)+M121*(1-Assumptions!$B$29)+M122*(1-Assumptions!$B$30)</f>
        <v>33659.794356</v>
      </c>
      <c r="N124" s="83" t="n">
        <f aca="false">N119*(1-Assumptions!$B$27-$D$7)+N120*(1-Assumptions!$B$28)+N121*(1-Assumptions!$B$29)+N122*(1-Assumptions!$B$30)</f>
        <v>22581.04486</v>
      </c>
      <c r="O124" s="83" t="n">
        <f aca="false">O119*(1-Assumptions!$B$27-$D$7)+O120*(1-Assumptions!$B$28)+O121*(1-Assumptions!$B$29)+O122*(1-Assumptions!$B$30)</f>
        <v>32630.224964</v>
      </c>
      <c r="P124" s="83" t="n">
        <f aca="false">SUM(C124:O124)</f>
        <v>304713.713208</v>
      </c>
    </row>
    <row r="125" customFormat="false" ht="13.5" hidden="false" customHeight="true" outlineLevel="0" collapsed="false">
      <c r="A125" s="78" t="s">
        <v>527</v>
      </c>
      <c r="B125" s="62" t="s">
        <v>254</v>
      </c>
      <c r="C125" s="83" t="n">
        <f aca="false">C119*Assumptions!$B$66+IF(C117=1,Assumptions!$B$71,INDEX($C$119:$O$119,1,C117-1)*(1-Assumptions!$B$66))</f>
        <v>19198.32808</v>
      </c>
      <c r="D125" s="83" t="n">
        <f aca="false">D119*Assumptions!$B$66+IF(D117=1,Assumptions!$B$71,INDEX($C$119:$O$119,1,D117-1)*(1-Assumptions!$B$66))</f>
        <v>21634.713632</v>
      </c>
      <c r="E125" s="83" t="n">
        <f aca="false">E119*Assumptions!$B$66+IF(E117=1,Assumptions!$B$71,INDEX($C$119:$O$119,1,E117-1)*(1-Assumptions!$B$66))</f>
        <v>18867.670976</v>
      </c>
      <c r="F125" s="83" t="n">
        <f aca="false">F119*Assumptions!$B$66+IF(F117=1,Assumptions!$B$71,INDEX($C$119:$O$119,1,F117-1)*(1-Assumptions!$B$66))</f>
        <v>18236.591072</v>
      </c>
      <c r="G125" s="83" t="n">
        <f aca="false">G119*Assumptions!$B$66+IF(G117=1,Assumptions!$B$71,INDEX($C$119:$O$119,1,G117-1)*(1-Assumptions!$B$66))</f>
        <v>18762.490992</v>
      </c>
      <c r="H125" s="83" t="n">
        <f aca="false">H119*Assumptions!$B$66+IF(H117=1,Assumptions!$B$71,INDEX($C$119:$O$119,1,H117-1)*(1-Assumptions!$B$66))</f>
        <v>19555.386256</v>
      </c>
      <c r="I125" s="83" t="n">
        <f aca="false">I119*Assumptions!$B$66+IF(I117=1,Assumptions!$B$71,INDEX($C$119:$O$119,1,I117-1)*(1-Assumptions!$B$66))</f>
        <v>20178.375392</v>
      </c>
      <c r="J125" s="83" t="n">
        <f aca="false">J119*Assumptions!$B$66+IF(J117=1,Assumptions!$B$71,INDEX($C$119:$O$119,1,J117-1)*(1-Assumptions!$B$66))</f>
        <v>20599.095328</v>
      </c>
      <c r="K125" s="83" t="n">
        <f aca="false">K119*Assumptions!$B$66+IF(K117=1,Assumptions!$B$71,INDEX($C$119:$O$119,1,K117-1)*(1-Assumptions!$B$66))</f>
        <v>19887.107744</v>
      </c>
      <c r="L125" s="83" t="n">
        <f aca="false">L119*Assumptions!$B$66+IF(L117=1,Assumptions!$B$71,INDEX($C$119:$O$119,1,L117-1)*(1-Assumptions!$B$66))</f>
        <v>20752.81992</v>
      </c>
      <c r="M125" s="83" t="n">
        <f aca="false">M119*Assumptions!$B$66+IF(M117=1,Assumptions!$B$71,INDEX($C$119:$O$119,1,M117-1)*(1-Assumptions!$B$66))</f>
        <v>21391.990592</v>
      </c>
      <c r="N125" s="83" t="n">
        <f aca="false">N119*Assumptions!$B$66+IF(N117=1,Assumptions!$B$71,INDEX($C$119:$O$119,1,N117-1)*(1-Assumptions!$B$66))</f>
        <v>22184.885856</v>
      </c>
      <c r="O125" s="83" t="n">
        <f aca="false">O119*Assumptions!$B$66+IF(O117=1,Assumptions!$B$71,INDEX($C$119:$O$119,1,O117-1)*(1-Assumptions!$B$66))</f>
        <v>22993.962656</v>
      </c>
      <c r="P125" s="83" t="n">
        <f aca="false">SUM(C125:O125)</f>
        <v>264243.418496</v>
      </c>
    </row>
    <row r="126" customFormat="false" ht="13.5" hidden="false" customHeight="true" outlineLevel="0" collapsed="false">
      <c r="A126" s="78" t="s">
        <v>255</v>
      </c>
      <c r="B126" s="62" t="s">
        <v>256</v>
      </c>
      <c r="C126" s="83" t="n">
        <f aca="false">C120*Assumptions!$B$67+IF(C117=1,Assumptions!$B$72,INDEX($C$120:$O$120,1,C117-1)*(1-Assumptions!$B$67))</f>
        <v>21371.7444</v>
      </c>
      <c r="D126" s="83" t="n">
        <f aca="false">D120*Assumptions!$B$67+IF(D117=1,Assumptions!$B$72,INDEX($C$120:$O$120,1,D117-1)*(1-Assumptions!$B$67))</f>
        <v>22826.8656</v>
      </c>
      <c r="E126" s="83" t="n">
        <f aca="false">E120*Assumptions!$B$67+IF(E117=1,Assumptions!$B$72,INDEX($C$120:$O$120,1,E117-1)*(1-Assumptions!$B$67))</f>
        <v>21408.4332</v>
      </c>
      <c r="F126" s="83" t="n">
        <f aca="false">F120*Assumptions!$B$67+IF(F117=1,Assumptions!$B$72,INDEX($C$120:$O$120,1,F117-1)*(1-Assumptions!$B$67))</f>
        <v>20924.6268</v>
      </c>
      <c r="G126" s="83" t="n">
        <f aca="false">G120*Assumptions!$B$67+IF(G117=1,Assumptions!$B$72,INDEX($C$120:$O$120,1,G117-1)*(1-Assumptions!$B$67))</f>
        <v>21639.3408</v>
      </c>
      <c r="H126" s="83" t="n">
        <f aca="false">H120*Assumptions!$B$67+IF(H117=1,Assumptions!$B$72,INDEX($C$120:$O$120,1,H117-1)*(1-Assumptions!$B$67))</f>
        <v>22332.0636</v>
      </c>
      <c r="I126" s="83" t="n">
        <f aca="false">I120*Assumptions!$B$67+IF(I117=1,Assumptions!$B$72,INDEX($C$120:$O$120,1,I117-1)*(1-Assumptions!$B$67))</f>
        <v>22804.8744</v>
      </c>
      <c r="J126" s="83" t="n">
        <f aca="false">J120*Assumptions!$B$67+IF(J117=1,Assumptions!$B$72,INDEX($C$120:$O$120,1,J117-1)*(1-Assumptions!$B$67))</f>
        <v>23244.6984</v>
      </c>
      <c r="K126" s="83" t="n">
        <f aca="false">K120*Assumptions!$B$67+IF(K117=1,Assumptions!$B$72,INDEX($C$120:$O$120,1,K117-1)*(1-Assumptions!$B$67))</f>
        <v>23123.7468</v>
      </c>
      <c r="L126" s="83" t="n">
        <f aca="false">L120*Assumptions!$B$67+IF(L117=1,Assumptions!$B$72,INDEX($C$120:$O$120,1,L117-1)*(1-Assumptions!$B$67))</f>
        <v>23651.5356</v>
      </c>
      <c r="M126" s="83" t="n">
        <f aca="false">M120*Assumptions!$B$67+IF(M117=1,Assumptions!$B$72,INDEX($C$120:$O$120,1,M117-1)*(1-Assumptions!$B$67))</f>
        <v>24498.1968</v>
      </c>
      <c r="N126" s="83" t="n">
        <f aca="false">N120*Assumptions!$B$67+IF(N117=1,Assumptions!$B$72,INDEX($C$120:$O$120,1,N117-1)*(1-Assumptions!$B$67))</f>
        <v>25190.9196</v>
      </c>
      <c r="O126" s="83" t="n">
        <f aca="false">O120*Assumptions!$B$67+IF(O117=1,Assumptions!$B$72,INDEX($C$120:$O$120,1,O117-1)*(1-Assumptions!$B$67))</f>
        <v>26224.506</v>
      </c>
      <c r="P126" s="83" t="n">
        <f aca="false">SUM(C126:O126)</f>
        <v>299241.552</v>
      </c>
    </row>
    <row r="127" customFormat="false" ht="13.5" hidden="false" customHeight="true" outlineLevel="0" collapsed="false">
      <c r="A127" s="78" t="s">
        <v>257</v>
      </c>
      <c r="B127" s="62" t="s">
        <v>258</v>
      </c>
      <c r="C127" s="83" t="n">
        <f aca="false">C121*Assumptions!$B$68+IF(C117=1,0,INDEX($C$121:$O$121,1,C117-1)*(1-Assumptions!$B$68))</f>
        <v>0</v>
      </c>
      <c r="D127" s="83" t="n">
        <f aca="false">D121*Assumptions!$B$68+IF(D117=1,0,INDEX($C$121:$O$121,1,D117-1)*(1-Assumptions!$B$68))</f>
        <v>23280</v>
      </c>
      <c r="E127" s="83" t="n">
        <f aca="false">E121*Assumptions!$B$68+IF(E117=1,0,INDEX($C$121:$O$121,1,E117-1)*(1-Assumptions!$B$68))</f>
        <v>0</v>
      </c>
      <c r="F127" s="83" t="n">
        <f aca="false">F121*Assumptions!$B$68+IF(F117=1,0,INDEX($C$121:$O$121,1,F117-1)*(1-Assumptions!$B$68))</f>
        <v>0</v>
      </c>
      <c r="G127" s="83" t="n">
        <f aca="false">G121*Assumptions!$B$68+IF(G117=1,0,INDEX($C$121:$O$121,1,G117-1)*(1-Assumptions!$B$68))</f>
        <v>0</v>
      </c>
      <c r="H127" s="83" t="n">
        <f aca="false">H121*Assumptions!$B$68+IF(H117=1,0,INDEX($C$121:$O$121,1,H117-1)*(1-Assumptions!$B$68))</f>
        <v>0</v>
      </c>
      <c r="I127" s="83" t="n">
        <f aca="false">I121*Assumptions!$B$68+IF(I117=1,0,INDEX($C$121:$O$121,1,I117-1)*(1-Assumptions!$B$68))</f>
        <v>18624</v>
      </c>
      <c r="J127" s="83" t="n">
        <f aca="false">J121*Assumptions!$B$68+IF(J117=1,0,INDEX($C$121:$O$121,1,J117-1)*(1-Assumptions!$B$68))</f>
        <v>0</v>
      </c>
      <c r="K127" s="83" t="n">
        <f aca="false">K121*Assumptions!$B$68+IF(K117=1,0,INDEX($C$121:$O$121,1,K117-1)*(1-Assumptions!$B$68))</f>
        <v>0</v>
      </c>
      <c r="L127" s="83" t="n">
        <f aca="false">L121*Assumptions!$B$68+IF(L117=1,0,INDEX($C$121:$O$121,1,L117-1)*(1-Assumptions!$B$68))</f>
        <v>0</v>
      </c>
      <c r="M127" s="83" t="n">
        <f aca="false">M121*Assumptions!$B$68+IF(M117=1,0,INDEX($C$121:$O$121,1,M117-1)*(1-Assumptions!$B$68))</f>
        <v>32592</v>
      </c>
      <c r="N127" s="83" t="n">
        <f aca="false">N121*Assumptions!$B$68+IF(N117=1,0,INDEX($C$121:$O$121,1,N117-1)*(1-Assumptions!$B$68))</f>
        <v>0</v>
      </c>
      <c r="O127" s="83" t="n">
        <f aca="false">O121*Assumptions!$B$68+IF(O117=1,0,INDEX($C$121:$O$121,1,O117-1)*(1-Assumptions!$B$68))</f>
        <v>25608</v>
      </c>
      <c r="P127" s="83" t="n">
        <f aca="false">SUM(C127:O127)</f>
        <v>100104</v>
      </c>
    </row>
    <row r="128" customFormat="false" ht="13.5" hidden="false" customHeight="true" outlineLevel="0" collapsed="false">
      <c r="A128" s="78" t="s">
        <v>528</v>
      </c>
      <c r="B128" s="62" t="s">
        <v>260</v>
      </c>
      <c r="C128" s="83" t="n">
        <f aca="false">IF(C117&lt;=Assumptions!$B$69,Assumptions!$B$73/Assumptions!$B$69,INDEX($C$122:$O$122,1,C117-Assumptions!$B$69)*(1-Assumptions!$B$41))</f>
        <v>5495</v>
      </c>
      <c r="D128" s="83" t="n">
        <f aca="false">IF(D117&lt;=Assumptions!$B$69,Assumptions!$B$73/Assumptions!$B$69,INDEX($C$122:$O$122,1,D117-Assumptions!$B$69)*(1-Assumptions!$B$41))</f>
        <v>5495</v>
      </c>
      <c r="E128" s="83" t="n">
        <f aca="false">IF(E117&lt;=Assumptions!$B$69,Assumptions!$B$73/Assumptions!$B$69,INDEX($C$122:$O$122,1,E117-Assumptions!$B$69)*(1-Assumptions!$B$41))</f>
        <v>5495</v>
      </c>
      <c r="F128" s="83" t="n">
        <f aca="false">IF(F117&lt;=Assumptions!$B$69,Assumptions!$B$73/Assumptions!$B$69,INDEX($C$122:$O$122,1,F117-Assumptions!$B$69)*(1-Assumptions!$B$41))</f>
        <v>5495</v>
      </c>
      <c r="G128" s="83" t="n">
        <f aca="false">IF(G117&lt;=Assumptions!$B$69,Assumptions!$B$73/Assumptions!$B$69,INDEX($C$122:$O$122,1,G117-Assumptions!$B$69)*(1-Assumptions!$B$41))</f>
        <v>5275.2</v>
      </c>
      <c r="H128" s="83" t="n">
        <f aca="false">IF(H117&lt;=Assumptions!$B$69,Assumptions!$B$73/Assumptions!$B$69,INDEX($C$122:$O$122,1,H117-Assumptions!$B$69)*(1-Assumptions!$B$41))</f>
        <v>5495</v>
      </c>
      <c r="I128" s="83" t="n">
        <f aca="false">IF(I117&lt;=Assumptions!$B$69,Assumptions!$B$73/Assumptions!$B$69,INDEX($C$122:$O$122,1,I117-Assumptions!$B$69)*(1-Assumptions!$B$41))</f>
        <v>5220.25</v>
      </c>
      <c r="J128" s="83" t="n">
        <f aca="false">IF(J117&lt;=Assumptions!$B$69,Assumptions!$B$73/Assumptions!$B$69,INDEX($C$122:$O$122,1,J117-Assumptions!$B$69)*(1-Assumptions!$B$41))</f>
        <v>5165.3</v>
      </c>
      <c r="K128" s="83" t="n">
        <f aca="false">IF(K117&lt;=Assumptions!$B$69,Assumptions!$B$73/Assumptions!$B$69,INDEX($C$122:$O$122,1,K117-Assumptions!$B$69)*(1-Assumptions!$B$41))</f>
        <v>5330.15</v>
      </c>
      <c r="L128" s="83" t="n">
        <f aca="false">IF(L117&lt;=Assumptions!$B$69,Assumptions!$B$73/Assumptions!$B$69,INDEX($C$122:$O$122,1,L117-Assumptions!$B$69)*(1-Assumptions!$B$41))</f>
        <v>5495</v>
      </c>
      <c r="M128" s="83" t="n">
        <f aca="false">IF(M117&lt;=Assumptions!$B$69,Assumptions!$B$73/Assumptions!$B$69,INDEX($C$122:$O$122,1,M117-Assumptions!$B$69)*(1-Assumptions!$B$41))</f>
        <v>5604.9</v>
      </c>
      <c r="N128" s="83" t="n">
        <f aca="false">IF(N117&lt;=Assumptions!$B$69,Assumptions!$B$73/Assumptions!$B$69,INDEX($C$122:$O$122,1,N117-Assumptions!$B$69)*(1-Assumptions!$B$41))</f>
        <v>5659.85</v>
      </c>
      <c r="O128" s="83" t="n">
        <f aca="false">IF(O117&lt;=Assumptions!$B$69,Assumptions!$B$73/Assumptions!$B$69,INDEX($C$122:$O$122,1,O117-Assumptions!$B$69)*(1-Assumptions!$B$41))</f>
        <v>5549.95</v>
      </c>
      <c r="P128" s="83" t="n">
        <f aca="false">SUM(C128:O128)</f>
        <v>70775.6</v>
      </c>
    </row>
    <row r="129" customFormat="false" ht="13.5" hidden="false" customHeight="true" outlineLevel="0" collapsed="false">
      <c r="A129" s="78" t="s">
        <v>529</v>
      </c>
      <c r="B129" s="62" t="s">
        <v>262</v>
      </c>
      <c r="C129" s="83" t="n">
        <f aca="false">IF(C117=$D$19,$D$18,0)+IF(C117=Assumptions!$B$124,Assumptions!$B$123,0)</f>
        <v>0</v>
      </c>
      <c r="D129" s="83" t="n">
        <f aca="false">IF(D117=$D$19,$D$18,0)+IF(D117=Assumptions!$B$124,Assumptions!$B$123,0)</f>
        <v>0</v>
      </c>
      <c r="E129" s="83" t="n">
        <f aca="false">IF(E117=$D$19,$D$18,0)+IF(E117=Assumptions!$B$124,Assumptions!$B$123,0)</f>
        <v>0</v>
      </c>
      <c r="F129" s="83" t="n">
        <f aca="false">IF(F117=$D$19,$D$18,0)+IF(F117=Assumptions!$B$124,Assumptions!$B$123,0)</f>
        <v>0</v>
      </c>
      <c r="G129" s="83" t="n">
        <f aca="false">IF(G117=$D$19,$D$18,0)+IF(G117=Assumptions!$B$124,Assumptions!$B$123,0)</f>
        <v>0</v>
      </c>
      <c r="H129" s="83" t="n">
        <f aca="false">IF(H117=$D$19,$D$18,0)+IF(H117=Assumptions!$B$124,Assumptions!$B$123,0)</f>
        <v>0</v>
      </c>
      <c r="I129" s="83" t="n">
        <f aca="false">IF(I117=$D$19,$D$18,0)+IF(I117=Assumptions!$B$124,Assumptions!$B$123,0)</f>
        <v>0</v>
      </c>
      <c r="J129" s="83" t="n">
        <f aca="false">IF(J117=$D$19,$D$18,0)+IF(J117=Assumptions!$B$124,Assumptions!$B$123,0)</f>
        <v>0</v>
      </c>
      <c r="K129" s="83" t="n">
        <f aca="false">IF(K117=$D$19,$D$18,0)+IF(K117=Assumptions!$B$124,Assumptions!$B$123,0)</f>
        <v>0</v>
      </c>
      <c r="L129" s="83" t="n">
        <f aca="false">IF(L117=$D$19,$D$18,0)+IF(L117=Assumptions!$B$124,Assumptions!$B$123,0)</f>
        <v>0</v>
      </c>
      <c r="M129" s="83" t="n">
        <f aca="false">IF(M117=$D$19,$D$18,0)+IF(M117=Assumptions!$B$124,Assumptions!$B$123,0)</f>
        <v>0</v>
      </c>
      <c r="N129" s="83" t="n">
        <f aca="false">IF(N117=$D$19,$D$18,0)+IF(N117=Assumptions!$B$124,Assumptions!$B$123,0)</f>
        <v>0</v>
      </c>
      <c r="O129" s="83" t="n">
        <f aca="false">IF(O117=$D$19,$D$18,0)+IF(O117=Assumptions!$B$124,Assumptions!$B$123,0)</f>
        <v>0</v>
      </c>
      <c r="P129" s="83" t="n">
        <f aca="false">SUM(C129:O129)</f>
        <v>0</v>
      </c>
    </row>
    <row r="130" customFormat="false" ht="13.5" hidden="false" customHeight="true" outlineLevel="0" collapsed="false">
      <c r="A130" s="81" t="s">
        <v>263</v>
      </c>
      <c r="B130" s="23"/>
      <c r="C130" s="145" t="n">
        <f aca="false">SUM(C125:C129)</f>
        <v>46065.07248</v>
      </c>
      <c r="D130" s="145" t="n">
        <f aca="false">SUM(D125:D129)</f>
        <v>73236.579232</v>
      </c>
      <c r="E130" s="145" t="n">
        <f aca="false">SUM(E125:E129)</f>
        <v>45771.104176</v>
      </c>
      <c r="F130" s="145" t="n">
        <f aca="false">SUM(F125:F129)</f>
        <v>44656.217872</v>
      </c>
      <c r="G130" s="145" t="n">
        <f aca="false">SUM(G125:G129)</f>
        <v>45677.031792</v>
      </c>
      <c r="H130" s="145" t="n">
        <f aca="false">SUM(H125:H129)</f>
        <v>47382.449856</v>
      </c>
      <c r="I130" s="145" t="n">
        <f aca="false">SUM(I125:I129)</f>
        <v>66827.499792</v>
      </c>
      <c r="J130" s="145" t="n">
        <f aca="false">SUM(J125:J129)</f>
        <v>49009.093728</v>
      </c>
      <c r="K130" s="145" t="n">
        <f aca="false">SUM(K125:K129)</f>
        <v>48341.004544</v>
      </c>
      <c r="L130" s="145" t="n">
        <f aca="false">SUM(L125:L129)</f>
        <v>49899.35552</v>
      </c>
      <c r="M130" s="145" t="n">
        <f aca="false">SUM(M125:M129)</f>
        <v>84087.087392</v>
      </c>
      <c r="N130" s="145" t="n">
        <f aca="false">SUM(N125:N129)</f>
        <v>53035.655456</v>
      </c>
      <c r="O130" s="145" t="n">
        <f aca="false">SUM(O125:O129)</f>
        <v>80376.418656</v>
      </c>
      <c r="P130" s="145" t="n">
        <f aca="false">SUM(C130:O130)</f>
        <v>734364.570496</v>
      </c>
    </row>
    <row r="131" customFormat="false" ht="13.5" hidden="false" customHeight="true" outlineLevel="0" collapsed="false">
      <c r="A131" s="78" t="s">
        <v>265</v>
      </c>
      <c r="B131" s="62" t="s">
        <v>530</v>
      </c>
      <c r="C131" s="83" t="n">
        <f aca="false">C124*Assumptions!$B$75*IF(C118=1,1,$D$20)+SUMIFS(Assumptions!$B$115:$B$118,Assumptions!$C$115:$C$118,C117)</f>
        <v>11210.9899806</v>
      </c>
      <c r="D131" s="83" t="n">
        <f aca="false">D124*Assumptions!$B$75*IF(D118=1,1,$D$20)+SUMIFS(Assumptions!$B$115:$B$118,Assumptions!$C$115:$C$118,D117)</f>
        <v>71170.52810864</v>
      </c>
      <c r="E131" s="83" t="n">
        <f aca="false">E124*Assumptions!$B$75*IF(E118=1,1,$D$20)+SUMIFS(Assumptions!$B$115:$B$118,Assumptions!$C$115:$C$118,E117)</f>
        <v>10999.21929136</v>
      </c>
      <c r="F131" s="83" t="n">
        <f aca="false">F124*Assumptions!$B$75*IF(F118=1,1,$D$20)+SUMIFS(Assumptions!$B$115:$B$118,Assumptions!$C$115:$C$118,F117)</f>
        <v>10834.9616372</v>
      </c>
      <c r="G131" s="83" t="n">
        <f aca="false">G124*Assumptions!$B$75*IF(G118=1,1,$D$20)+SUMIFS(Assumptions!$B$115:$B$118,Assumptions!$C$115:$C$118,G117)</f>
        <v>57236.21507844</v>
      </c>
      <c r="H131" s="83" t="n">
        <f aca="false">H124*Assumptions!$B$75*IF(H118=1,1,$D$20)+SUMIFS(Assumptions!$B$115:$B$118,Assumptions!$C$115:$C$118,H117)</f>
        <v>11633.96197076</v>
      </c>
      <c r="I131" s="83" t="n">
        <f aca="false">I124*Assumptions!$B$75*IF(I118=1,1,$D$20)+SUMIFS(Assumptions!$B$115:$B$118,Assumptions!$C$115:$C$118,I117)</f>
        <v>15803.655444</v>
      </c>
      <c r="J131" s="83" t="n">
        <f aca="false">J124*Assumptions!$B$75*IF(J118=1,1,$D$20)+SUMIFS(Assumptions!$B$115:$B$118,Assumptions!$C$115:$C$118,J117)</f>
        <v>94130.24148216</v>
      </c>
      <c r="K131" s="83" t="n">
        <f aca="false">K124*Assumptions!$B$75*IF(K118=1,1,$D$20)+SUMIFS(Assumptions!$B$115:$B$118,Assumptions!$C$115:$C$118,K117)</f>
        <v>11852.74575784</v>
      </c>
      <c r="L131" s="83" t="n">
        <f aca="false">L124*Assumptions!$B$75*IF(L118=1,1,$D$20)+SUMIFS(Assumptions!$B$115:$B$118,Assumptions!$C$115:$C$118,L117)</f>
        <v>12316.21768524</v>
      </c>
      <c r="M131" s="83" t="n">
        <f aca="false">M124*Assumptions!$B$75*IF(M118=1,1,$D$20)+SUMIFS(Assumptions!$B$115:$B$118,Assumptions!$C$115:$C$118,M117)</f>
        <v>72522.68072648</v>
      </c>
      <c r="N131" s="83" t="n">
        <f aca="false">N124*Assumptions!$B$75*IF(N118=1,1,$D$20)+SUMIFS(Assumptions!$B$115:$B$118,Assumptions!$C$115:$C$118,N117)</f>
        <v>13097.0060188</v>
      </c>
      <c r="O131" s="83" t="n">
        <f aca="false">O124*Assumptions!$B$75*IF(O118=1,1,$D$20)+SUMIFS(Assumptions!$B$115:$B$118,Assumptions!$C$115:$C$118,O117)</f>
        <v>18925.53047912</v>
      </c>
      <c r="P131" s="83" t="n">
        <f aca="false">SUM(C131:O131)</f>
        <v>411733.95366064</v>
      </c>
    </row>
    <row r="132" customFormat="false" ht="13.5" hidden="false" customHeight="true" outlineLevel="0" collapsed="false">
      <c r="A132" s="78" t="s">
        <v>531</v>
      </c>
      <c r="B132" s="62" t="s">
        <v>163</v>
      </c>
      <c r="C132" s="83" t="n">
        <f aca="false">(Assumptions!$B$46*(1+$D$8)*C118+Assumptions!$B$91)*'13W Cash Flow'!C$69</f>
        <v>0</v>
      </c>
      <c r="D132" s="83" t="n">
        <f aca="false">(Assumptions!$B$46*(1+$D$8)*D118+Assumptions!$B$91)*'13W Cash Flow'!D$69</f>
        <v>0</v>
      </c>
      <c r="E132" s="83" t="n">
        <f aca="false">(Assumptions!$B$46*(1+$D$8)*E118+Assumptions!$B$91)*'13W Cash Flow'!E$69</f>
        <v>0</v>
      </c>
      <c r="F132" s="83" t="n">
        <f aca="false">(Assumptions!$B$46*(1+$D$8)*F118+Assumptions!$B$91)*'13W Cash Flow'!F$69</f>
        <v>0</v>
      </c>
      <c r="G132" s="83" t="n">
        <f aca="false">(Assumptions!$B$46*(1+$D$8)*G118+Assumptions!$B$91)*'13W Cash Flow'!G$69</f>
        <v>42480</v>
      </c>
      <c r="H132" s="83" t="n">
        <f aca="false">(Assumptions!$B$46*(1+$D$8)*H118+Assumptions!$B$91)*'13W Cash Flow'!H$69</f>
        <v>0</v>
      </c>
      <c r="I132" s="83" t="n">
        <f aca="false">(Assumptions!$B$46*(1+$D$8)*I118+Assumptions!$B$91)*'13W Cash Flow'!I$69</f>
        <v>0</v>
      </c>
      <c r="J132" s="83" t="n">
        <f aca="false">(Assumptions!$B$46*(1+$D$8)*J118+Assumptions!$B$91)*'13W Cash Flow'!J$69</f>
        <v>0</v>
      </c>
      <c r="K132" s="83" t="n">
        <f aca="false">(Assumptions!$B$46*(1+$D$8)*K118+Assumptions!$B$91)*'13W Cash Flow'!K$69</f>
        <v>42480</v>
      </c>
      <c r="L132" s="83" t="n">
        <f aca="false">(Assumptions!$B$46*(1+$D$8)*L118+Assumptions!$B$91)*'13W Cash Flow'!L$69</f>
        <v>0</v>
      </c>
      <c r="M132" s="83" t="n">
        <f aca="false">(Assumptions!$B$46*(1+$D$8)*M118+Assumptions!$B$91)*'13W Cash Flow'!M$69</f>
        <v>0</v>
      </c>
      <c r="N132" s="83" t="n">
        <f aca="false">(Assumptions!$B$46*(1+$D$8)*N118+Assumptions!$B$91)*'13W Cash Flow'!N$69</f>
        <v>0</v>
      </c>
      <c r="O132" s="83" t="n">
        <f aca="false">(Assumptions!$B$46*(1+$D$8)*O118+Assumptions!$B$91)*'13W Cash Flow'!O$69</f>
        <v>42480</v>
      </c>
      <c r="P132" s="83" t="n">
        <f aca="false">SUM(C132:O132)</f>
        <v>127440</v>
      </c>
    </row>
    <row r="133" customFormat="false" ht="13.5" hidden="false" customHeight="true" outlineLevel="0" collapsed="false">
      <c r="A133" s="78" t="s">
        <v>532</v>
      </c>
      <c r="B133" s="62" t="s">
        <v>533</v>
      </c>
      <c r="C133" s="83" t="n">
        <f aca="false">C118*(Assumptions!$B$45*'13W Cash Flow'!C$64+(Assumptions!$B$47*'13W Cash Flow'!C$67+Assumptions!$B$48*'13W Cash Flow'!C$66+Assumptions!$B$49*'13W Cash Flow'!C$64)*(1+$D$9))</f>
        <v>0</v>
      </c>
      <c r="D133" s="83" t="n">
        <f aca="false">D118*(Assumptions!$B$45*'13W Cash Flow'!D$64+(Assumptions!$B$47*'13W Cash Flow'!D$67+Assumptions!$B$48*'13W Cash Flow'!D$66+Assumptions!$B$49*'13W Cash Flow'!D$64)*(1+$D$9))</f>
        <v>2806</v>
      </c>
      <c r="E133" s="83" t="n">
        <f aca="false">E118*(Assumptions!$B$45*'13W Cash Flow'!E$64+(Assumptions!$B$47*'13W Cash Flow'!E$67+Assumptions!$B$48*'13W Cash Flow'!E$66+Assumptions!$B$49*'13W Cash Flow'!E$64)*(1+$D$9))</f>
        <v>0</v>
      </c>
      <c r="F133" s="83" t="n">
        <f aca="false">F118*(Assumptions!$B$45*'13W Cash Flow'!F$64+(Assumptions!$B$47*'13W Cash Flow'!F$67+Assumptions!$B$48*'13W Cash Flow'!F$66+Assumptions!$B$49*'13W Cash Flow'!F$64)*(1+$D$9))</f>
        <v>0</v>
      </c>
      <c r="G133" s="83" t="n">
        <f aca="false">G118*(Assumptions!$B$45*'13W Cash Flow'!G$64+(Assumptions!$B$47*'13W Cash Flow'!G$67+Assumptions!$B$48*'13W Cash Flow'!G$66+Assumptions!$B$49*'13W Cash Flow'!G$64)*(1+$D$9))</f>
        <v>22828</v>
      </c>
      <c r="H133" s="83" t="n">
        <f aca="false">H118*(Assumptions!$B$45*'13W Cash Flow'!H$64+(Assumptions!$B$47*'13W Cash Flow'!H$67+Assumptions!$B$48*'13W Cash Flow'!H$66+Assumptions!$B$49*'13W Cash Flow'!H$64)*(1+$D$9))</f>
        <v>414</v>
      </c>
      <c r="I133" s="83" t="n">
        <f aca="false">I118*(Assumptions!$B$45*'13W Cash Flow'!I$64+(Assumptions!$B$47*'13W Cash Flow'!I$67+Assumptions!$B$48*'13W Cash Flow'!I$66+Assumptions!$B$49*'13W Cash Flow'!I$64)*(1+$D$9))</f>
        <v>2392</v>
      </c>
      <c r="J133" s="83" t="n">
        <f aca="false">J118*(Assumptions!$B$45*'13W Cash Flow'!J$64+(Assumptions!$B$47*'13W Cash Flow'!J$67+Assumptions!$B$48*'13W Cash Flow'!J$66+Assumptions!$B$49*'13W Cash Flow'!J$64)*(1+$D$9))</f>
        <v>0</v>
      </c>
      <c r="K133" s="83" t="n">
        <f aca="false">K118*(Assumptions!$B$45*'13W Cash Flow'!K$64+(Assumptions!$B$47*'13W Cash Flow'!K$67+Assumptions!$B$48*'13W Cash Flow'!K$66+Assumptions!$B$49*'13W Cash Flow'!K$64)*(1+$D$9))</f>
        <v>22828</v>
      </c>
      <c r="L133" s="83" t="n">
        <f aca="false">L118*(Assumptions!$B$45*'13W Cash Flow'!L$64+(Assumptions!$B$47*'13W Cash Flow'!L$67+Assumptions!$B$48*'13W Cash Flow'!L$66+Assumptions!$B$49*'13W Cash Flow'!L$64)*(1+$D$9))</f>
        <v>414</v>
      </c>
      <c r="M133" s="83" t="n">
        <f aca="false">M118*(Assumptions!$B$45*'13W Cash Flow'!M$64+(Assumptions!$B$47*'13W Cash Flow'!M$67+Assumptions!$B$48*'13W Cash Flow'!M$66+Assumptions!$B$49*'13W Cash Flow'!M$64)*(1+$D$9))</f>
        <v>2392</v>
      </c>
      <c r="N133" s="83" t="n">
        <f aca="false">N118*(Assumptions!$B$45*'13W Cash Flow'!N$64+(Assumptions!$B$47*'13W Cash Flow'!N$67+Assumptions!$B$48*'13W Cash Flow'!N$66+Assumptions!$B$49*'13W Cash Flow'!N$64)*(1+$D$9))</f>
        <v>0</v>
      </c>
      <c r="O133" s="83" t="n">
        <f aca="false">O118*(Assumptions!$B$45*'13W Cash Flow'!O$64+(Assumptions!$B$47*'13W Cash Flow'!O$67+Assumptions!$B$48*'13W Cash Flow'!O$66+Assumptions!$B$49*'13W Cash Flow'!O$64)*(1+$D$9))</f>
        <v>22828</v>
      </c>
      <c r="P133" s="83" t="n">
        <f aca="false">SUM(C133:O133)</f>
        <v>76902</v>
      </c>
    </row>
    <row r="134" customFormat="false" ht="13.5" hidden="false" customHeight="true" outlineLevel="0" collapsed="false">
      <c r="A134" s="78" t="s">
        <v>534</v>
      </c>
      <c r="B134" s="62" t="s">
        <v>272</v>
      </c>
      <c r="C134" s="83" t="n">
        <f aca="false">C120*Assumptions!$B$39*$D$12+Assumptions!$B$61*'13W Cash Flow'!C$66</f>
        <v>1919.83176</v>
      </c>
      <c r="D134" s="83" t="n">
        <f aca="false">D120*Assumptions!$B$39*$D$12+Assumptions!$B$61*'13W Cash Flow'!D$66</f>
        <v>6578.1684</v>
      </c>
      <c r="E134" s="83" t="n">
        <f aca="false">E120*Assumptions!$B$39*$D$12+Assumptions!$B$61*'13W Cash Flow'!E$66</f>
        <v>1900.03968</v>
      </c>
      <c r="F134" s="83" t="n">
        <f aca="false">F120*Assumptions!$B$39*$D$12+Assumptions!$B$61*'13W Cash Flow'!F$66</f>
        <v>1880.2476</v>
      </c>
      <c r="G134" s="83" t="n">
        <f aca="false">G120*Assumptions!$B$39*$D$12+Assumptions!$B$61*'13W Cash Flow'!G$66</f>
        <v>1959.41592</v>
      </c>
      <c r="H134" s="83" t="n">
        <f aca="false">H120*Assumptions!$B$39*$D$12+Assumptions!$B$61*'13W Cash Flow'!H$66</f>
        <v>6518.79216</v>
      </c>
      <c r="I134" s="83" t="n">
        <f aca="false">I120*Assumptions!$B$39*$D$12+Assumptions!$B$61*'13W Cash Flow'!I$66</f>
        <v>2058.37632</v>
      </c>
      <c r="J134" s="83" t="n">
        <f aca="false">J120*Assumptions!$B$39*$D$12+Assumptions!$B$61*'13W Cash Flow'!J$66</f>
        <v>2097.96048</v>
      </c>
      <c r="K134" s="83" t="n">
        <f aca="false">K120*Assumptions!$B$39*$D$12+Assumptions!$B$61*'13W Cash Flow'!K$66</f>
        <v>2078.1684</v>
      </c>
      <c r="L134" s="83" t="n">
        <f aca="false">L120*Assumptions!$B$39*$D$12+Assumptions!$B$61*'13W Cash Flow'!L$66</f>
        <v>6637.54464</v>
      </c>
      <c r="M134" s="83" t="n">
        <f aca="false">M120*Assumptions!$B$39*$D$12+Assumptions!$B$61*'13W Cash Flow'!M$66</f>
        <v>2216.71296</v>
      </c>
      <c r="N134" s="83" t="n">
        <f aca="false">N120*Assumptions!$B$39*$D$12+Assumptions!$B$61*'13W Cash Flow'!N$66</f>
        <v>2276.0892</v>
      </c>
      <c r="O134" s="83" t="n">
        <f aca="false">O120*Assumptions!$B$39*$D$12+Assumptions!$B$61*'13W Cash Flow'!O$66</f>
        <v>2375.0496</v>
      </c>
      <c r="P134" s="83" t="n">
        <f aca="false">SUM(C134:O134)</f>
        <v>40496.39712</v>
      </c>
    </row>
    <row r="135" customFormat="false" ht="13.5" hidden="false" customHeight="true" outlineLevel="0" collapsed="false">
      <c r="A135" s="78" t="s">
        <v>352</v>
      </c>
      <c r="B135" s="62" t="s">
        <v>274</v>
      </c>
      <c r="C135" s="83" t="n">
        <f aca="false">C120*Assumptions!$B$38+C122*Assumptions!$B$42</f>
        <v>1499.58516</v>
      </c>
      <c r="D135" s="83" t="n">
        <f aca="false">D120*Assumptions!$B$38+D122*Assumptions!$B$42</f>
        <v>1618.6494</v>
      </c>
      <c r="E135" s="83" t="n">
        <f aca="false">E120*Assumptions!$B$38+E122*Assumptions!$B$42</f>
        <v>1484.11338</v>
      </c>
      <c r="F135" s="83" t="n">
        <f aca="false">F120*Assumptions!$B$38+F122*Assumptions!$B$42</f>
        <v>1468.6416</v>
      </c>
      <c r="G135" s="83" t="n">
        <f aca="false">G120*Assumptions!$B$38+G122*Assumptions!$B$42</f>
        <v>1529.35122</v>
      </c>
      <c r="H135" s="83" t="n">
        <f aca="false">H120*Assumptions!$B$38+H122*Assumptions!$B$42</f>
        <v>1575.76656</v>
      </c>
      <c r="I135" s="83" t="n">
        <f aca="false">I120*Assumptions!$B$38+I122*Assumptions!$B$42</f>
        <v>1606.71012</v>
      </c>
      <c r="J135" s="83" t="n">
        <f aca="false">J120*Assumptions!$B$38+J122*Assumptions!$B$42</f>
        <v>1636.47618</v>
      </c>
      <c r="K135" s="83" t="n">
        <f aca="false">K120*Assumptions!$B$38+K122*Assumptions!$B$42</f>
        <v>1619.8269</v>
      </c>
      <c r="L135" s="83" t="n">
        <f aca="false">L120*Assumptions!$B$38+L122*Assumptions!$B$42</f>
        <v>1667.41974</v>
      </c>
      <c r="M135" s="83" t="n">
        <f aca="false">M120*Assumptions!$B$38+M122*Assumptions!$B$42</f>
        <v>1728.12936</v>
      </c>
      <c r="N135" s="83" t="n">
        <f aca="false">N120*Assumptions!$B$38+N122*Assumptions!$B$42</f>
        <v>1773.3672</v>
      </c>
      <c r="O135" s="83" t="n">
        <f aca="false">O120*Assumptions!$B$38+O122*Assumptions!$B$42</f>
        <v>1847.1936</v>
      </c>
      <c r="P135" s="83" t="n">
        <f aca="false">SUM(C135:O135)</f>
        <v>21055.23042</v>
      </c>
    </row>
    <row r="136" customFormat="false" ht="13.5" hidden="false" customHeight="true" outlineLevel="0" collapsed="false">
      <c r="A136" s="78" t="s">
        <v>275</v>
      </c>
      <c r="B136" s="62" t="s">
        <v>274</v>
      </c>
      <c r="C136" s="83" t="n">
        <f aca="false">C119*Assumptions!$B$33+C120*Assumptions!$B$34+C121*Assumptions!$B$35</f>
        <v>964.492788</v>
      </c>
      <c r="D136" s="83" t="n">
        <f aca="false">D119*Assumptions!$B$33+D120*Assumptions!$B$34+D121*Assumptions!$B$35</f>
        <v>1505.1633648</v>
      </c>
      <c r="E136" s="83" t="n">
        <f aca="false">E119*Assumptions!$B$33+E120*Assumptions!$B$34+E121*Assumptions!$B$35</f>
        <v>947.1928032</v>
      </c>
      <c r="F136" s="83" t="n">
        <f aca="false">F119*Assumptions!$B$33+F120*Assumptions!$B$34+F121*Assumptions!$B$35</f>
        <v>933.533664</v>
      </c>
      <c r="G136" s="83" t="n">
        <f aca="false">G119*Assumptions!$B$33+G120*Assumptions!$B$34+G121*Assumptions!$B$35</f>
        <v>969.9659928</v>
      </c>
      <c r="H136" s="83" t="n">
        <f aca="false">H119*Assumptions!$B$33+H120*Assumptions!$B$34+H121*Assumptions!$B$35</f>
        <v>1003.6617192</v>
      </c>
      <c r="I136" s="83" t="n">
        <f aca="false">I119*Assumptions!$B$33+I120*Assumptions!$B$34+I121*Assumptions!$B$35</f>
        <v>1381.195152</v>
      </c>
      <c r="J136" s="83" t="n">
        <f aca="false">J119*Assumptions!$B$33+J120*Assumptions!$B$34+J121*Assumptions!$B$35</f>
        <v>1047.3757392</v>
      </c>
      <c r="K136" s="83" t="n">
        <f aca="false">K119*Assumptions!$B$33+K120*Assumptions!$B$34+K121*Assumptions!$B$35</f>
        <v>1026.4349088</v>
      </c>
      <c r="L136" s="83" t="n">
        <f aca="false">L119*Assumptions!$B$33+L120*Assumptions!$B$34+L121*Assumptions!$B$35</f>
        <v>1063.7714808</v>
      </c>
      <c r="M136" s="83" t="n">
        <f aca="false">M119*Assumptions!$B$33+M120*Assumptions!$B$34+M121*Assumptions!$B$35</f>
        <v>1719.4518096</v>
      </c>
      <c r="N136" s="83" t="n">
        <f aca="false">N119*Assumptions!$B$33+N120*Assumptions!$B$34+N121*Assumptions!$B$35</f>
        <v>1133.899536</v>
      </c>
      <c r="O136" s="83" t="n">
        <f aca="false">O119*Assumptions!$B$33+O120*Assumptions!$B$34+O121*Assumptions!$B$35</f>
        <v>1666.9021584</v>
      </c>
      <c r="P136" s="83" t="n">
        <f aca="false">SUM(C136:O136)</f>
        <v>15363.0411168</v>
      </c>
    </row>
    <row r="137" customFormat="false" ht="13.5" hidden="false" customHeight="true" outlineLevel="0" collapsed="false">
      <c r="A137" s="78" t="s">
        <v>535</v>
      </c>
      <c r="B137" s="62" t="s">
        <v>274</v>
      </c>
      <c r="C137" s="83" t="n">
        <f aca="false">C121*Assumptions!$B$40+C119*(Assumptions!$B$36+Assumptions!$B$37)</f>
        <v>730.191812</v>
      </c>
      <c r="D137" s="83" t="n">
        <f aca="false">D121*Assumptions!$B$40+D119*(Assumptions!$B$36+Assumptions!$B$37)</f>
        <v>5020.5127968</v>
      </c>
      <c r="E137" s="83" t="n">
        <f aca="false">E121*Assumptions!$B$40+E119*(Assumptions!$B$36+Assumptions!$B$37)</f>
        <v>707.1331232</v>
      </c>
      <c r="F137" s="83" t="n">
        <f aca="false">F121*Assumptions!$B$40+F119*(Assumptions!$B$36+Assumptions!$B$37)</f>
        <v>691.760664</v>
      </c>
      <c r="G137" s="83" t="n">
        <f aca="false">G121*Assumptions!$B$40+G119*(Assumptions!$B$36+Assumptions!$B$37)</f>
        <v>714.8193528</v>
      </c>
      <c r="H137" s="83" t="n">
        <f aca="false">H121*Assumptions!$B$40+H119*(Assumptions!$B$36+Assumptions!$B$37)</f>
        <v>745.5642712</v>
      </c>
      <c r="I137" s="83" t="n">
        <f aca="false">I121*Assumptions!$B$40+I119*(Assumptions!$B$36+Assumptions!$B$37)</f>
        <v>4120.94296</v>
      </c>
      <c r="J137" s="83" t="n">
        <f aca="false">J121*Assumptions!$B$40+J119*(Assumptions!$B$36+Assumptions!$B$37)</f>
        <v>783.9954192</v>
      </c>
      <c r="K137" s="83" t="n">
        <f aca="false">K121*Assumptions!$B$40+K119*(Assumptions!$B$36+Assumptions!$B$37)</f>
        <v>753.2505008</v>
      </c>
      <c r="L137" s="83" t="n">
        <f aca="false">L121*Assumptions!$B$40+L119*(Assumptions!$B$36+Assumptions!$B$37)</f>
        <v>791.6816488</v>
      </c>
      <c r="M137" s="83" t="n">
        <f aca="false">M121*Assumptions!$B$40+M119*(Assumptions!$B$36+Assumptions!$B$37)</f>
        <v>6681.3003376</v>
      </c>
      <c r="N137" s="83" t="n">
        <f aca="false">N121*Assumptions!$B$40+N119*(Assumptions!$B$36+Assumptions!$B$37)</f>
        <v>845.485256</v>
      </c>
      <c r="O137" s="83" t="n">
        <f aca="false">O121*Assumptions!$B$40+O119*(Assumptions!$B$36+Assumptions!$B$37)</f>
        <v>5485.6701744</v>
      </c>
      <c r="P137" s="83" t="n">
        <f aca="false">SUM(C137:O137)</f>
        <v>28072.3083168</v>
      </c>
    </row>
    <row r="138" customFormat="false" ht="13.5" hidden="false" customHeight="true" outlineLevel="0" collapsed="false">
      <c r="A138" s="78" t="s">
        <v>536</v>
      </c>
      <c r="B138" s="62" t="s">
        <v>537</v>
      </c>
      <c r="C138" s="83" t="n">
        <f aca="false">(Assumptions!$B$60+Assumptions!$B$53)*'13W Cash Flow'!C$66+Assumptions!$B$59*'13W Cash Flow'!C$68+Assumptions!$B$62*'13W Cash Flow'!C$64</f>
        <v>0</v>
      </c>
      <c r="D138" s="83" t="n">
        <f aca="false">(Assumptions!$B$60+Assumptions!$B$53)*'13W Cash Flow'!D$66+Assumptions!$B$59*'13W Cash Flow'!D$68+Assumptions!$B$62*'13W Cash Flow'!D$64</f>
        <v>2000</v>
      </c>
      <c r="E138" s="83" t="n">
        <f aca="false">(Assumptions!$B$60+Assumptions!$B$53)*'13W Cash Flow'!E$66+Assumptions!$B$59*'13W Cash Flow'!E$68+Assumptions!$B$62*'13W Cash Flow'!E$64</f>
        <v>1800</v>
      </c>
      <c r="F138" s="83" t="n">
        <f aca="false">(Assumptions!$B$60+Assumptions!$B$53)*'13W Cash Flow'!F$66+Assumptions!$B$59*'13W Cash Flow'!F$68+Assumptions!$B$62*'13W Cash Flow'!F$64</f>
        <v>0</v>
      </c>
      <c r="G138" s="83" t="n">
        <f aca="false">(Assumptions!$B$60+Assumptions!$B$53)*'13W Cash Flow'!G$66+Assumptions!$B$59*'13W Cash Flow'!G$68+Assumptions!$B$62*'13W Cash Flow'!G$64</f>
        <v>1500</v>
      </c>
      <c r="H138" s="83" t="n">
        <f aca="false">(Assumptions!$B$60+Assumptions!$B$53)*'13W Cash Flow'!H$66+Assumptions!$B$59*'13W Cash Flow'!H$68+Assumptions!$B$62*'13W Cash Flow'!H$64</f>
        <v>2000</v>
      </c>
      <c r="I138" s="83" t="n">
        <f aca="false">(Assumptions!$B$60+Assumptions!$B$53)*'13W Cash Flow'!I$66+Assumptions!$B$59*'13W Cash Flow'!I$68+Assumptions!$B$62*'13W Cash Flow'!I$64</f>
        <v>1800</v>
      </c>
      <c r="J138" s="83" t="n">
        <f aca="false">(Assumptions!$B$60+Assumptions!$B$53)*'13W Cash Flow'!J$66+Assumptions!$B$59*'13W Cash Flow'!J$68+Assumptions!$B$62*'13W Cash Flow'!J$64</f>
        <v>0</v>
      </c>
      <c r="K138" s="83" t="n">
        <f aca="false">(Assumptions!$B$60+Assumptions!$B$53)*'13W Cash Flow'!K$66+Assumptions!$B$59*'13W Cash Flow'!K$68+Assumptions!$B$62*'13W Cash Flow'!K$64</f>
        <v>1500</v>
      </c>
      <c r="L138" s="83" t="n">
        <f aca="false">(Assumptions!$B$60+Assumptions!$B$53)*'13W Cash Flow'!L$66+Assumptions!$B$59*'13W Cash Flow'!L$68+Assumptions!$B$62*'13W Cash Flow'!L$64</f>
        <v>2000</v>
      </c>
      <c r="M138" s="83" t="n">
        <f aca="false">(Assumptions!$B$60+Assumptions!$B$53)*'13W Cash Flow'!M$66+Assumptions!$B$59*'13W Cash Flow'!M$68+Assumptions!$B$62*'13W Cash Flow'!M$64</f>
        <v>0</v>
      </c>
      <c r="N138" s="83" t="n">
        <f aca="false">(Assumptions!$B$60+Assumptions!$B$53)*'13W Cash Flow'!N$66+Assumptions!$B$59*'13W Cash Flow'!N$68+Assumptions!$B$62*'13W Cash Flow'!N$64</f>
        <v>1800</v>
      </c>
      <c r="O138" s="83" t="n">
        <f aca="false">(Assumptions!$B$60+Assumptions!$B$53)*'13W Cash Flow'!O$66+Assumptions!$B$59*'13W Cash Flow'!O$68+Assumptions!$B$62*'13W Cash Flow'!O$64</f>
        <v>1500</v>
      </c>
      <c r="P138" s="83" t="n">
        <f aca="false">SUM(C138:O138)</f>
        <v>15900</v>
      </c>
    </row>
    <row r="139" customFormat="false" ht="13.5" hidden="false" customHeight="true" outlineLevel="0" collapsed="false">
      <c r="A139" s="78" t="s">
        <v>538</v>
      </c>
      <c r="B139" s="62" t="s">
        <v>539</v>
      </c>
      <c r="C139" s="83" t="n">
        <f aca="false">IF(C117=Assumptions!$B$88,Assumptions!$B$87,0)+Assumptions!$B$86*'13W Cash Flow'!C$65</f>
        <v>4200</v>
      </c>
      <c r="D139" s="83" t="n">
        <f aca="false">IF(D117=Assumptions!$B$88,Assumptions!$B$87,0)+Assumptions!$B$86*'13W Cash Flow'!D$65</f>
        <v>0</v>
      </c>
      <c r="E139" s="83" t="n">
        <f aca="false">IF(E117=Assumptions!$B$88,Assumptions!$B$87,0)+Assumptions!$B$86*'13W Cash Flow'!E$65</f>
        <v>0</v>
      </c>
      <c r="F139" s="83" t="n">
        <f aca="false">IF(F117=Assumptions!$B$88,Assumptions!$B$87,0)+Assumptions!$B$86*'13W Cash Flow'!F$65</f>
        <v>0</v>
      </c>
      <c r="G139" s="83" t="n">
        <f aca="false">IF(G117=Assumptions!$B$88,Assumptions!$B$87,0)+Assumptions!$B$86*'13W Cash Flow'!G$65</f>
        <v>4200</v>
      </c>
      <c r="H139" s="83" t="n">
        <f aca="false">IF(H117=Assumptions!$B$88,Assumptions!$B$87,0)+Assumptions!$B$86*'13W Cash Flow'!H$65</f>
        <v>0</v>
      </c>
      <c r="I139" s="83" t="n">
        <f aca="false">IF(I117=Assumptions!$B$88,Assumptions!$B$87,0)+Assumptions!$B$86*'13W Cash Flow'!I$65</f>
        <v>0</v>
      </c>
      <c r="J139" s="83" t="n">
        <f aca="false">IF(J117=Assumptions!$B$88,Assumptions!$B$87,0)+Assumptions!$B$86*'13W Cash Flow'!J$65</f>
        <v>0</v>
      </c>
      <c r="K139" s="83" t="n">
        <f aca="false">IF(K117=Assumptions!$B$88,Assumptions!$B$87,0)+Assumptions!$B$86*'13W Cash Flow'!K$65</f>
        <v>26500</v>
      </c>
      <c r="L139" s="83" t="n">
        <f aca="false">IF(L117=Assumptions!$B$88,Assumptions!$B$87,0)+Assumptions!$B$86*'13W Cash Flow'!L$65</f>
        <v>4200</v>
      </c>
      <c r="M139" s="83" t="n">
        <f aca="false">IF(M117=Assumptions!$B$88,Assumptions!$B$87,0)+Assumptions!$B$86*'13W Cash Flow'!M$65</f>
        <v>0</v>
      </c>
      <c r="N139" s="83" t="n">
        <f aca="false">IF(N117=Assumptions!$B$88,Assumptions!$B$87,0)+Assumptions!$B$86*'13W Cash Flow'!N$65</f>
        <v>0</v>
      </c>
      <c r="O139" s="83" t="n">
        <f aca="false">IF(O117=Assumptions!$B$88,Assumptions!$B$87,0)+Assumptions!$B$86*'13W Cash Flow'!O$65</f>
        <v>0</v>
      </c>
      <c r="P139" s="83" t="n">
        <f aca="false">SUM(C139:O139)</f>
        <v>39100</v>
      </c>
    </row>
    <row r="140" customFormat="false" ht="13.5" hidden="false" customHeight="true" outlineLevel="0" collapsed="false">
      <c r="A140" s="78" t="s">
        <v>466</v>
      </c>
      <c r="B140" s="62" t="s">
        <v>540</v>
      </c>
      <c r="C140" s="83" t="n">
        <f aca="false">IF(C117=$D$16,$D$14*$D$15,0)+IF(C117=$D$17,$D$14*(1-$D$15),0)</f>
        <v>0</v>
      </c>
      <c r="D140" s="83" t="n">
        <f aca="false">IF(D117=$D$16,$D$14*$D$15,0)+IF(D117=$D$17,$D$14*(1-$D$15),0)</f>
        <v>0</v>
      </c>
      <c r="E140" s="83" t="n">
        <f aca="false">IF(E117=$D$16,$D$14*$D$15,0)+IF(E117=$D$17,$D$14*(1-$D$15),0)</f>
        <v>0</v>
      </c>
      <c r="F140" s="83" t="n">
        <f aca="false">IF(F117=$D$16,$D$14*$D$15,0)+IF(F117=$D$17,$D$14*(1-$D$15),0)</f>
        <v>0</v>
      </c>
      <c r="G140" s="83" t="n">
        <f aca="false">IF(G117=$D$16,$D$14*$D$15,0)+IF(G117=$D$17,$D$14*(1-$D$15),0)</f>
        <v>0</v>
      </c>
      <c r="H140" s="83" t="n">
        <f aca="false">IF(H117=$D$16,$D$14*$D$15,0)+IF(H117=$D$17,$D$14*(1-$D$15),0)</f>
        <v>0</v>
      </c>
      <c r="I140" s="83" t="n">
        <f aca="false">IF(I117=$D$16,$D$14*$D$15,0)+IF(I117=$D$17,$D$14*(1-$D$15),0)</f>
        <v>0</v>
      </c>
      <c r="J140" s="83" t="n">
        <f aca="false">IF(J117=$D$16,$D$14*$D$15,0)+IF(J117=$D$17,$D$14*(1-$D$15),0)</f>
        <v>0</v>
      </c>
      <c r="K140" s="83" t="n">
        <f aca="false">IF(K117=$D$16,$D$14*$D$15,0)+IF(K117=$D$17,$D$14*(1-$D$15),0)</f>
        <v>0</v>
      </c>
      <c r="L140" s="83" t="n">
        <f aca="false">IF(L117=$D$16,$D$14*$D$15,0)+IF(L117=$D$17,$D$14*(1-$D$15),0)</f>
        <v>0</v>
      </c>
      <c r="M140" s="83" t="n">
        <f aca="false">IF(M117=$D$16,$D$14*$D$15,0)+IF(M117=$D$17,$D$14*(1-$D$15),0)</f>
        <v>0</v>
      </c>
      <c r="N140" s="83" t="n">
        <f aca="false">IF(N117=$D$16,$D$14*$D$15,0)+IF(N117=$D$17,$D$14*(1-$D$15),0)</f>
        <v>0</v>
      </c>
      <c r="O140" s="83" t="n">
        <f aca="false">IF(O117=$D$16,$D$14*$D$15,0)+IF(O117=$D$17,$D$14*(1-$D$15),0)</f>
        <v>0</v>
      </c>
      <c r="P140" s="83" t="n">
        <f aca="false">SUM(C140:O140)</f>
        <v>0</v>
      </c>
    </row>
    <row r="141" customFormat="false" ht="13.5" hidden="false" customHeight="true" outlineLevel="0" collapsed="false">
      <c r="A141" s="81" t="s">
        <v>292</v>
      </c>
      <c r="B141" s="23"/>
      <c r="C141" s="145" t="n">
        <f aca="false">SUM(C131:C140)</f>
        <v>20525.0915006</v>
      </c>
      <c r="D141" s="145" t="n">
        <f aca="false">SUM(D131:D140)</f>
        <v>90699.02207024</v>
      </c>
      <c r="E141" s="145" t="n">
        <f aca="false">SUM(E131:E140)</f>
        <v>17837.69827776</v>
      </c>
      <c r="F141" s="145" t="n">
        <f aca="false">SUM(F131:F140)</f>
        <v>15809.1451652</v>
      </c>
      <c r="G141" s="145" t="n">
        <f aca="false">SUM(G131:G140)</f>
        <v>133417.76756404</v>
      </c>
      <c r="H141" s="145" t="n">
        <f aca="false">SUM(H131:H140)</f>
        <v>23891.74668116</v>
      </c>
      <c r="I141" s="145" t="n">
        <f aca="false">SUM(I131:I140)</f>
        <v>29162.879996</v>
      </c>
      <c r="J141" s="145" t="n">
        <f aca="false">SUM(J131:J140)</f>
        <v>99696.04930056</v>
      </c>
      <c r="K141" s="145" t="n">
        <f aca="false">SUM(K131:K140)</f>
        <v>110638.42646744</v>
      </c>
      <c r="L141" s="145" t="n">
        <f aca="false">SUM(L131:L140)</f>
        <v>29090.63519484</v>
      </c>
      <c r="M141" s="145" t="n">
        <f aca="false">SUM(M131:M140)</f>
        <v>87260.27519368</v>
      </c>
      <c r="N141" s="145" t="n">
        <f aca="false">SUM(N131:N140)</f>
        <v>20925.8472108</v>
      </c>
      <c r="O141" s="145" t="n">
        <f aca="false">SUM(O131:O140)</f>
        <v>97108.34601192</v>
      </c>
      <c r="P141" s="145" t="n">
        <f aca="false">SUM(C141:O141)</f>
        <v>776062.93063424</v>
      </c>
    </row>
    <row r="142" customFormat="false" ht="13.5" hidden="false" customHeight="true" outlineLevel="0" collapsed="false">
      <c r="A142" s="81" t="s">
        <v>506</v>
      </c>
      <c r="B142" s="23"/>
      <c r="C142" s="146" t="n">
        <f aca="false">C130-C141</f>
        <v>25539.9809794</v>
      </c>
      <c r="D142" s="146" t="n">
        <f aca="false">D130-D141</f>
        <v>-17462.44283824</v>
      </c>
      <c r="E142" s="146" t="n">
        <f aca="false">E130-E141</f>
        <v>27933.40589824</v>
      </c>
      <c r="F142" s="146" t="n">
        <f aca="false">F130-F141</f>
        <v>28847.0727068</v>
      </c>
      <c r="G142" s="146" t="n">
        <f aca="false">G130-G141</f>
        <v>-87740.73577204</v>
      </c>
      <c r="H142" s="146" t="n">
        <f aca="false">H130-H141</f>
        <v>23490.70317484</v>
      </c>
      <c r="I142" s="146" t="n">
        <f aca="false">I130-I141</f>
        <v>37664.619796</v>
      </c>
      <c r="J142" s="146" t="n">
        <f aca="false">J130-J141</f>
        <v>-50686.95557256</v>
      </c>
      <c r="K142" s="146" t="n">
        <f aca="false">K130-K141</f>
        <v>-62297.42192344</v>
      </c>
      <c r="L142" s="146" t="n">
        <f aca="false">L130-L141</f>
        <v>20808.72032516</v>
      </c>
      <c r="M142" s="146" t="n">
        <f aca="false">M130-M141</f>
        <v>-3173.18780168</v>
      </c>
      <c r="N142" s="146" t="n">
        <f aca="false">N130-N141</f>
        <v>32109.8082452</v>
      </c>
      <c r="O142" s="146" t="n">
        <f aca="false">O130-O141</f>
        <v>-16731.92735592</v>
      </c>
      <c r="P142" s="146" t="n">
        <f aca="false">SUM(C142:O142)</f>
        <v>-41698.36013824</v>
      </c>
    </row>
    <row r="143" customFormat="false" ht="13.5" hidden="false" customHeight="true" outlineLevel="0" collapsed="false">
      <c r="A143" s="78" t="s">
        <v>507</v>
      </c>
      <c r="B143" s="62" t="s">
        <v>251</v>
      </c>
      <c r="C143" s="83" t="n">
        <f aca="false">Assumptions!$B$12</f>
        <v>205000</v>
      </c>
      <c r="D143" s="83" t="n">
        <f aca="false">C144</f>
        <v>230539.9809794</v>
      </c>
      <c r="E143" s="83" t="n">
        <f aca="false">D144</f>
        <v>213077.53814116</v>
      </c>
      <c r="F143" s="83" t="n">
        <f aca="false">E144</f>
        <v>241010.9440394</v>
      </c>
      <c r="G143" s="83" t="n">
        <f aca="false">F144</f>
        <v>269858.0167462</v>
      </c>
      <c r="H143" s="83" t="n">
        <f aca="false">G144</f>
        <v>182117.28097416</v>
      </c>
      <c r="I143" s="83" t="n">
        <f aca="false">H144</f>
        <v>205607.984149</v>
      </c>
      <c r="J143" s="83" t="n">
        <f aca="false">I144</f>
        <v>243272.603945</v>
      </c>
      <c r="K143" s="83" t="n">
        <f aca="false">J144</f>
        <v>192585.64837244</v>
      </c>
      <c r="L143" s="83" t="n">
        <f aca="false">K144</f>
        <v>130288.226449</v>
      </c>
      <c r="M143" s="83" t="n">
        <f aca="false">L144</f>
        <v>151096.94677416</v>
      </c>
      <c r="N143" s="83" t="n">
        <f aca="false">M144</f>
        <v>147923.75897248</v>
      </c>
      <c r="O143" s="83" t="n">
        <f aca="false">N144</f>
        <v>180033.56721768</v>
      </c>
      <c r="P143" s="3"/>
    </row>
    <row r="144" customFormat="false" ht="13.5" hidden="false" customHeight="true" outlineLevel="0" collapsed="false">
      <c r="A144" s="81" t="s">
        <v>295</v>
      </c>
      <c r="B144" s="23"/>
      <c r="C144" s="147" t="n">
        <f aca="false">C143+C142</f>
        <v>230539.9809794</v>
      </c>
      <c r="D144" s="147" t="n">
        <f aca="false">D143+D142</f>
        <v>213077.53814116</v>
      </c>
      <c r="E144" s="147" t="n">
        <f aca="false">E143+E142</f>
        <v>241010.9440394</v>
      </c>
      <c r="F144" s="147" t="n">
        <f aca="false">F143+F142</f>
        <v>269858.0167462</v>
      </c>
      <c r="G144" s="147" t="n">
        <f aca="false">G143+G142</f>
        <v>182117.28097416</v>
      </c>
      <c r="H144" s="147" t="n">
        <f aca="false">H143+H142</f>
        <v>205607.984149</v>
      </c>
      <c r="I144" s="147" t="n">
        <f aca="false">I143+I142</f>
        <v>243272.603945</v>
      </c>
      <c r="J144" s="147" t="n">
        <f aca="false">J143+J142</f>
        <v>192585.64837244</v>
      </c>
      <c r="K144" s="147" t="n">
        <f aca="false">K143+K142</f>
        <v>130288.226449</v>
      </c>
      <c r="L144" s="147" t="n">
        <f aca="false">L143+L142</f>
        <v>151096.94677416</v>
      </c>
      <c r="M144" s="147" t="n">
        <f aca="false">M143+M142</f>
        <v>147923.75897248</v>
      </c>
      <c r="N144" s="147" t="n">
        <f aca="false">N143+N142</f>
        <v>180033.56721768</v>
      </c>
      <c r="O144" s="147" t="n">
        <f aca="false">O143+O142</f>
        <v>163301.63986176</v>
      </c>
      <c r="P144" s="3"/>
    </row>
    <row r="145" customFormat="false" ht="13.5" hidden="false" customHeight="true" outlineLevel="0" collapsed="false">
      <c r="A145" s="78" t="s">
        <v>541</v>
      </c>
      <c r="B145" s="23"/>
      <c r="C145" s="83" t="n">
        <f aca="false">C144-Assumptions!$B$13</f>
        <v>110539.9809794</v>
      </c>
      <c r="D145" s="83" t="n">
        <f aca="false">D144-Assumptions!$B$13</f>
        <v>93077.53814116</v>
      </c>
      <c r="E145" s="83" t="n">
        <f aca="false">E144-Assumptions!$B$13</f>
        <v>121010.9440394</v>
      </c>
      <c r="F145" s="83" t="n">
        <f aca="false">F144-Assumptions!$B$13</f>
        <v>149858.0167462</v>
      </c>
      <c r="G145" s="83" t="n">
        <f aca="false">G144-Assumptions!$B$13</f>
        <v>62117.28097416</v>
      </c>
      <c r="H145" s="83" t="n">
        <f aca="false">H144-Assumptions!$B$13</f>
        <v>85607.984149</v>
      </c>
      <c r="I145" s="83" t="n">
        <f aca="false">I144-Assumptions!$B$13</f>
        <v>123272.603945</v>
      </c>
      <c r="J145" s="83" t="n">
        <f aca="false">J144-Assumptions!$B$13</f>
        <v>72585.64837244</v>
      </c>
      <c r="K145" s="83" t="n">
        <f aca="false">K144-Assumptions!$B$13</f>
        <v>10288.226449</v>
      </c>
      <c r="L145" s="83" t="n">
        <f aca="false">L144-Assumptions!$B$13</f>
        <v>31096.94677416</v>
      </c>
      <c r="M145" s="83" t="n">
        <f aca="false">M144-Assumptions!$B$13</f>
        <v>27923.75897248</v>
      </c>
      <c r="N145" s="83" t="n">
        <f aca="false">N144-Assumptions!$B$13</f>
        <v>60033.56721768</v>
      </c>
      <c r="O145" s="83" t="n">
        <f aca="false">O144-Assumptions!$B$13</f>
        <v>43301.63986176</v>
      </c>
      <c r="P145" s="3"/>
    </row>
    <row r="146" customFormat="false" ht="15" hidden="false" customHeight="true" outlineLevel="0" collapsed="false">
      <c r="A146" s="3"/>
      <c r="B146" s="3"/>
      <c r="C146" s="3"/>
      <c r="D146" s="3"/>
      <c r="E146" s="3"/>
      <c r="F146" s="3"/>
      <c r="G146" s="3"/>
      <c r="H146" s="3"/>
      <c r="I146" s="3"/>
      <c r="J146" s="3"/>
      <c r="K146" s="3"/>
      <c r="L146" s="3"/>
      <c r="M146" s="3"/>
      <c r="N146" s="3"/>
      <c r="O146" s="3"/>
      <c r="P146" s="3"/>
    </row>
    <row r="147" customFormat="false" ht="15" hidden="false" customHeight="true" outlineLevel="0" collapsed="false">
      <c r="A147" s="3"/>
      <c r="B147" s="3"/>
      <c r="C147" s="3"/>
      <c r="D147" s="3"/>
      <c r="E147" s="3"/>
      <c r="F147" s="3"/>
      <c r="G147" s="3"/>
      <c r="H147" s="3"/>
      <c r="I147" s="3"/>
      <c r="J147" s="3"/>
      <c r="K147" s="3"/>
      <c r="L147" s="3"/>
      <c r="M147" s="3"/>
      <c r="N147" s="3"/>
      <c r="O147" s="3"/>
      <c r="P147" s="3"/>
    </row>
    <row r="148" customFormat="false" ht="18" hidden="false" customHeight="true" outlineLevel="0" collapsed="false">
      <c r="A148" s="14" t="s">
        <v>543</v>
      </c>
      <c r="B148" s="14"/>
      <c r="C148" s="14"/>
      <c r="D148" s="14"/>
      <c r="E148" s="14"/>
      <c r="F148" s="14"/>
      <c r="G148" s="14"/>
      <c r="H148" s="14"/>
      <c r="I148" s="14"/>
      <c r="J148" s="14"/>
      <c r="K148" s="14"/>
      <c r="L148" s="14"/>
      <c r="M148" s="14"/>
      <c r="N148" s="14"/>
      <c r="O148" s="14"/>
      <c r="P148" s="14"/>
    </row>
    <row r="149" customFormat="false" ht="21.75" hidden="false" customHeight="true" outlineLevel="0" collapsed="false">
      <c r="A149" s="141" t="s">
        <v>77</v>
      </c>
      <c r="B149" s="141" t="s">
        <v>196</v>
      </c>
      <c r="C149" s="142" t="s">
        <v>198</v>
      </c>
      <c r="D149" s="142" t="s">
        <v>199</v>
      </c>
      <c r="E149" s="142" t="s">
        <v>200</v>
      </c>
      <c r="F149" s="142" t="s">
        <v>201</v>
      </c>
      <c r="G149" s="142" t="s">
        <v>202</v>
      </c>
      <c r="H149" s="142" t="s">
        <v>203</v>
      </c>
      <c r="I149" s="142" t="s">
        <v>204</v>
      </c>
      <c r="J149" s="142" t="s">
        <v>205</v>
      </c>
      <c r="K149" s="142" t="s">
        <v>206</v>
      </c>
      <c r="L149" s="142" t="s">
        <v>207</v>
      </c>
      <c r="M149" s="142" t="s">
        <v>208</v>
      </c>
      <c r="N149" s="142" t="s">
        <v>209</v>
      </c>
      <c r="O149" s="142" t="s">
        <v>210</v>
      </c>
      <c r="P149" s="143" t="s">
        <v>245</v>
      </c>
    </row>
    <row r="150" customFormat="false" ht="13.5" hidden="false" customHeight="true" outlineLevel="0" collapsed="false">
      <c r="A150" s="78" t="s">
        <v>247</v>
      </c>
      <c r="B150" s="23"/>
      <c r="C150" s="144" t="n">
        <f aca="false">'13W Cash Flow'!C$5</f>
        <v>1</v>
      </c>
      <c r="D150" s="144" t="n">
        <f aca="false">'13W Cash Flow'!D$5</f>
        <v>2</v>
      </c>
      <c r="E150" s="144" t="n">
        <f aca="false">'13W Cash Flow'!E$5</f>
        <v>3</v>
      </c>
      <c r="F150" s="144" t="n">
        <f aca="false">'13W Cash Flow'!F$5</f>
        <v>4</v>
      </c>
      <c r="G150" s="144" t="n">
        <f aca="false">'13W Cash Flow'!G$5</f>
        <v>5</v>
      </c>
      <c r="H150" s="144" t="n">
        <f aca="false">'13W Cash Flow'!H$5</f>
        <v>6</v>
      </c>
      <c r="I150" s="144" t="n">
        <f aca="false">'13W Cash Flow'!I$5</f>
        <v>7</v>
      </c>
      <c r="J150" s="144" t="n">
        <f aca="false">'13W Cash Flow'!J$5</f>
        <v>8</v>
      </c>
      <c r="K150" s="144" t="n">
        <f aca="false">'13W Cash Flow'!K$5</f>
        <v>9</v>
      </c>
      <c r="L150" s="144" t="n">
        <f aca="false">'13W Cash Flow'!L$5</f>
        <v>10</v>
      </c>
      <c r="M150" s="144" t="n">
        <f aca="false">'13W Cash Flow'!M$5</f>
        <v>11</v>
      </c>
      <c r="N150" s="144" t="n">
        <f aca="false">'13W Cash Flow'!N$5</f>
        <v>12</v>
      </c>
      <c r="O150" s="144" t="n">
        <f aca="false">'13W Cash Flow'!O$5</f>
        <v>13</v>
      </c>
      <c r="P150" s="3"/>
    </row>
    <row r="151" customFormat="false" ht="13.5" hidden="false" customHeight="true" outlineLevel="0" collapsed="false">
      <c r="A151" s="78" t="s">
        <v>522</v>
      </c>
      <c r="B151" s="62" t="s">
        <v>523</v>
      </c>
      <c r="C151" s="144" t="n">
        <f aca="false">IF(OR($E$13=0,C$150&lt;=$E$13),1,0)</f>
        <v>1</v>
      </c>
      <c r="D151" s="144" t="n">
        <f aca="false">IF(OR($E$13=0,D$150&lt;=$E$13),1,0)</f>
        <v>1</v>
      </c>
      <c r="E151" s="144" t="n">
        <f aca="false">IF(OR($E$13=0,E$150&lt;=$E$13),1,0)</f>
        <v>1</v>
      </c>
      <c r="F151" s="144" t="n">
        <f aca="false">IF(OR($E$13=0,F$150&lt;=$E$13),1,0)</f>
        <v>1</v>
      </c>
      <c r="G151" s="144" t="n">
        <f aca="false">IF(OR($E$13=0,G$150&lt;=$E$13),1,0)</f>
        <v>0</v>
      </c>
      <c r="H151" s="144" t="n">
        <f aca="false">IF(OR($E$13=0,H$150&lt;=$E$13),1,0)</f>
        <v>0</v>
      </c>
      <c r="I151" s="144" t="n">
        <f aca="false">IF(OR($E$13=0,I$150&lt;=$E$13),1,0)</f>
        <v>0</v>
      </c>
      <c r="J151" s="144" t="n">
        <f aca="false">IF(OR($E$13=0,J$150&lt;=$E$13),1,0)</f>
        <v>0</v>
      </c>
      <c r="K151" s="144" t="n">
        <f aca="false">IF(OR($E$13=0,K$150&lt;=$E$13),1,0)</f>
        <v>0</v>
      </c>
      <c r="L151" s="144" t="n">
        <f aca="false">IF(OR($E$13=0,L$150&lt;=$E$13),1,0)</f>
        <v>0</v>
      </c>
      <c r="M151" s="144" t="n">
        <f aca="false">IF(OR($E$13=0,M$150&lt;=$E$13),1,0)</f>
        <v>0</v>
      </c>
      <c r="N151" s="144" t="n">
        <f aca="false">IF(OR($E$13=0,N$150&lt;=$E$13),1,0)</f>
        <v>0</v>
      </c>
      <c r="O151" s="144" t="n">
        <f aca="false">IF(OR($E$13=0,O$150&lt;=$E$13),1,0)</f>
        <v>0</v>
      </c>
      <c r="P151" s="3"/>
    </row>
    <row r="152" customFormat="false" ht="13.5" hidden="false" customHeight="true" outlineLevel="0" collapsed="false">
      <c r="A152" s="78" t="s">
        <v>388</v>
      </c>
      <c r="B152" s="62" t="s">
        <v>524</v>
      </c>
      <c r="C152" s="83" t="n">
        <f aca="false">'13W Cash Flow'!C$72*(1+$E$6)*C151</f>
        <v>18127.9</v>
      </c>
      <c r="D152" s="83" t="n">
        <f aca="false">'13W Cash Flow'!D$72*(1+$E$6)*D151</f>
        <v>20608.56</v>
      </c>
      <c r="E152" s="83" t="n">
        <f aca="false">'13W Cash Flow'!E$72*(1+$E$6)*E151</f>
        <v>17555.44</v>
      </c>
      <c r="F152" s="83" t="n">
        <f aca="false">'13W Cash Flow'!F$72*(1+$E$6)*F151</f>
        <v>17173.8</v>
      </c>
      <c r="G152" s="83" t="n">
        <f aca="false">'13W Cash Flow'!G$72*(1+$E$6)*G151</f>
        <v>0</v>
      </c>
      <c r="H152" s="83" t="n">
        <f aca="false">'13W Cash Flow'!H$72*(1+$E$6)*H151</f>
        <v>0</v>
      </c>
      <c r="I152" s="83" t="n">
        <f aca="false">'13W Cash Flow'!I$72*(1+$E$6)*I151</f>
        <v>0</v>
      </c>
      <c r="J152" s="83" t="n">
        <f aca="false">'13W Cash Flow'!J$72*(1+$E$6)*J151</f>
        <v>0</v>
      </c>
      <c r="K152" s="83" t="n">
        <f aca="false">'13W Cash Flow'!K$72*(1+$E$6)*K151</f>
        <v>0</v>
      </c>
      <c r="L152" s="83" t="n">
        <f aca="false">'13W Cash Flow'!L$72*(1+$E$6)*L151</f>
        <v>0</v>
      </c>
      <c r="M152" s="83" t="n">
        <f aca="false">'13W Cash Flow'!M$72*(1+$E$6)*M151</f>
        <v>0</v>
      </c>
      <c r="N152" s="83" t="n">
        <f aca="false">'13W Cash Flow'!N$72*(1+$E$6)*N151</f>
        <v>0</v>
      </c>
      <c r="O152" s="83" t="n">
        <f aca="false">'13W Cash Flow'!O$72*(1+$E$6)*O151</f>
        <v>0</v>
      </c>
      <c r="P152" s="83" t="n">
        <f aca="false">SUM(C152:O152)</f>
        <v>73465.7</v>
      </c>
    </row>
    <row r="153" customFormat="false" ht="13.5" hidden="false" customHeight="true" outlineLevel="0" collapsed="false">
      <c r="A153" s="78" t="s">
        <v>480</v>
      </c>
      <c r="B153" s="62" t="s">
        <v>525</v>
      </c>
      <c r="C153" s="83" t="n">
        <f aca="false">'13W Cash Flow'!C$73*(1+$E$10)+'13W Cash Flow'!C$72*(1-C151)*$E$11</f>
        <v>20913.2</v>
      </c>
      <c r="D153" s="83" t="n">
        <f aca="false">'13W Cash Flow'!D$73*(1+$E$10)+'13W Cash Flow'!D$72*(1-D151)*$E$11</f>
        <v>22638</v>
      </c>
      <c r="E153" s="83" t="n">
        <f aca="false">'13W Cash Flow'!E$73*(1+$E$10)+'13W Cash Flow'!E$72*(1-E151)*$E$11</f>
        <v>20697.6</v>
      </c>
      <c r="F153" s="83" t="n">
        <f aca="false">'13W Cash Flow'!F$73*(1+$E$10)+'13W Cash Flow'!F$72*(1-F151)*$E$11</f>
        <v>20482</v>
      </c>
      <c r="G153" s="83" t="n">
        <f aca="false">'13W Cash Flow'!G$73*(1+$E$10)+'13W Cash Flow'!G$72*(1-G151)*$E$11</f>
        <v>25780.965</v>
      </c>
      <c r="H153" s="83" t="n">
        <f aca="false">'13W Cash Flow'!H$73*(1+$E$10)+'13W Cash Flow'!H$72*(1-H151)*$E$11</f>
        <v>26618.585</v>
      </c>
      <c r="I153" s="83" t="n">
        <f aca="false">'13W Cash Flow'!I$73*(1+$E$10)+'13W Cash Flow'!I$72*(1-I151)*$E$11</f>
        <v>27192.9</v>
      </c>
      <c r="J153" s="83" t="n">
        <f aca="false">'13W Cash Flow'!J$73*(1+$E$10)+'13W Cash Flow'!J$72*(1-J151)*$E$11</f>
        <v>27719.51</v>
      </c>
      <c r="K153" s="83" t="n">
        <f aca="false">'13W Cash Flow'!K$73*(1+$E$10)+'13W Cash Flow'!K$72*(1-K151)*$E$11</f>
        <v>27313.09</v>
      </c>
      <c r="L153" s="83" t="n">
        <f aca="false">'13W Cash Flow'!L$73*(1+$E$10)+'13W Cash Flow'!L$72*(1-L151)*$E$11</f>
        <v>28198.415</v>
      </c>
      <c r="M153" s="83" t="n">
        <f aca="false">'13W Cash Flow'!M$73*(1+$E$10)+'13W Cash Flow'!M$72*(1-M151)*$E$11</f>
        <v>29203.93</v>
      </c>
      <c r="N153" s="83" t="n">
        <f aca="false">'13W Cash Flow'!N$73*(1+$E$10)+'13W Cash Flow'!N$72*(1-N151)*$E$11</f>
        <v>30041.55</v>
      </c>
      <c r="O153" s="83" t="n">
        <f aca="false">'13W Cash Flow'!O$73*(1+$E$10)+'13W Cash Flow'!O$72*(1-O151)*$E$11</f>
        <v>31310.37</v>
      </c>
      <c r="P153" s="83" t="n">
        <f aca="false">SUM(C153:O153)</f>
        <v>338110.115</v>
      </c>
    </row>
    <row r="154" customFormat="false" ht="13.5" hidden="false" customHeight="true" outlineLevel="0" collapsed="false">
      <c r="A154" s="78" t="s">
        <v>481</v>
      </c>
      <c r="B154" s="62" t="s">
        <v>526</v>
      </c>
      <c r="C154" s="83" t="n">
        <f aca="false">'13W Cash Flow'!C$74</f>
        <v>0</v>
      </c>
      <c r="D154" s="83" t="n">
        <f aca="false">'13W Cash Flow'!D$74</f>
        <v>23280</v>
      </c>
      <c r="E154" s="83" t="n">
        <f aca="false">'13W Cash Flow'!E$74</f>
        <v>0</v>
      </c>
      <c r="F154" s="83" t="n">
        <f aca="false">'13W Cash Flow'!F$74</f>
        <v>0</v>
      </c>
      <c r="G154" s="83" t="n">
        <f aca="false">'13W Cash Flow'!G$74</f>
        <v>0</v>
      </c>
      <c r="H154" s="83" t="n">
        <f aca="false">'13W Cash Flow'!H$74</f>
        <v>0</v>
      </c>
      <c r="I154" s="83" t="n">
        <f aca="false">'13W Cash Flow'!I$74</f>
        <v>18624</v>
      </c>
      <c r="J154" s="83" t="n">
        <f aca="false">'13W Cash Flow'!J$74</f>
        <v>0</v>
      </c>
      <c r="K154" s="83" t="n">
        <f aca="false">'13W Cash Flow'!K$74</f>
        <v>0</v>
      </c>
      <c r="L154" s="83" t="n">
        <f aca="false">'13W Cash Flow'!L$74</f>
        <v>0</v>
      </c>
      <c r="M154" s="83" t="n">
        <f aca="false">'13W Cash Flow'!M$74</f>
        <v>32592</v>
      </c>
      <c r="N154" s="83" t="n">
        <f aca="false">'13W Cash Flow'!N$74</f>
        <v>0</v>
      </c>
      <c r="O154" s="83" t="n">
        <f aca="false">'13W Cash Flow'!O$74</f>
        <v>25608</v>
      </c>
      <c r="P154" s="83" t="n">
        <f aca="false">SUM(C154:O154)</f>
        <v>100104</v>
      </c>
    </row>
    <row r="155" customFormat="false" ht="13.5" hidden="false" customHeight="true" outlineLevel="0" collapsed="false">
      <c r="A155" s="78" t="s">
        <v>482</v>
      </c>
      <c r="B155" s="62" t="s">
        <v>526</v>
      </c>
      <c r="C155" s="83" t="n">
        <f aca="false">'13W Cash Flow'!C$75</f>
        <v>7536</v>
      </c>
      <c r="D155" s="83" t="n">
        <f aca="false">'13W Cash Flow'!D$75</f>
        <v>7850</v>
      </c>
      <c r="E155" s="83" t="n">
        <f aca="false">'13W Cash Flow'!E$75</f>
        <v>7457.5</v>
      </c>
      <c r="F155" s="83" t="n">
        <f aca="false">'13W Cash Flow'!F$75</f>
        <v>7379</v>
      </c>
      <c r="G155" s="83" t="n">
        <f aca="false">'13W Cash Flow'!G$75</f>
        <v>7614.5</v>
      </c>
      <c r="H155" s="83" t="n">
        <f aca="false">'13W Cash Flow'!H$75</f>
        <v>7850</v>
      </c>
      <c r="I155" s="83" t="n">
        <f aca="false">'13W Cash Flow'!I$75</f>
        <v>8007</v>
      </c>
      <c r="J155" s="83" t="n">
        <f aca="false">'13W Cash Flow'!J$75</f>
        <v>8085.5</v>
      </c>
      <c r="K155" s="83" t="n">
        <f aca="false">'13W Cash Flow'!K$75</f>
        <v>7928.5</v>
      </c>
      <c r="L155" s="83" t="n">
        <f aca="false">'13W Cash Flow'!L$75</f>
        <v>8242.5</v>
      </c>
      <c r="M155" s="83" t="n">
        <f aca="false">'13W Cash Flow'!M$75</f>
        <v>8478</v>
      </c>
      <c r="N155" s="83" t="n">
        <f aca="false">'13W Cash Flow'!N$75</f>
        <v>8635</v>
      </c>
      <c r="O155" s="83" t="n">
        <f aca="false">'13W Cash Flow'!O$75</f>
        <v>8792</v>
      </c>
      <c r="P155" s="83" t="n">
        <f aca="false">SUM(C155:O155)</f>
        <v>103855.5</v>
      </c>
    </row>
    <row r="156" customFormat="false" ht="13.5" hidden="false" customHeight="true" outlineLevel="0" collapsed="false">
      <c r="A156" s="81" t="s">
        <v>328</v>
      </c>
      <c r="B156" s="23"/>
      <c r="C156" s="145" t="n">
        <f aca="false">SUM(C152:C155)</f>
        <v>46577.1</v>
      </c>
      <c r="D156" s="145" t="n">
        <f aca="false">SUM(D152:D155)</f>
        <v>74376.56</v>
      </c>
      <c r="E156" s="145" t="n">
        <f aca="false">SUM(E152:E155)</f>
        <v>45710.54</v>
      </c>
      <c r="F156" s="145" t="n">
        <f aca="false">SUM(F152:F155)</f>
        <v>45034.8</v>
      </c>
      <c r="G156" s="145" t="n">
        <f aca="false">SUM(G152:G155)</f>
        <v>33395.465</v>
      </c>
      <c r="H156" s="145" t="n">
        <f aca="false">SUM(H152:H155)</f>
        <v>34468.585</v>
      </c>
      <c r="I156" s="145" t="n">
        <f aca="false">SUM(I152:I155)</f>
        <v>53823.9</v>
      </c>
      <c r="J156" s="145" t="n">
        <f aca="false">SUM(J152:J155)</f>
        <v>35805.01</v>
      </c>
      <c r="K156" s="145" t="n">
        <f aca="false">SUM(K152:K155)</f>
        <v>35241.59</v>
      </c>
      <c r="L156" s="145" t="n">
        <f aca="false">SUM(L152:L155)</f>
        <v>36440.915</v>
      </c>
      <c r="M156" s="145" t="n">
        <f aca="false">SUM(M152:M155)</f>
        <v>70273.93</v>
      </c>
      <c r="N156" s="145" t="n">
        <f aca="false">SUM(N152:N155)</f>
        <v>38676.55</v>
      </c>
      <c r="O156" s="145" t="n">
        <f aca="false">SUM(O152:O155)</f>
        <v>65710.37</v>
      </c>
      <c r="P156" s="145" t="n">
        <f aca="false">SUM(C156:O156)</f>
        <v>615535.315</v>
      </c>
    </row>
    <row r="157" customFormat="false" ht="13.5" hidden="false" customHeight="true" outlineLevel="0" collapsed="false">
      <c r="A157" s="78" t="s">
        <v>330</v>
      </c>
      <c r="B157" s="23"/>
      <c r="C157" s="83" t="n">
        <f aca="false">C152*(1-Assumptions!$B$27-$E$7)+C153*(1-Assumptions!$B$28)+C154*(1-Assumptions!$B$29)+C155*(1-Assumptions!$B$30)</f>
        <v>18993.398</v>
      </c>
      <c r="D157" s="83" t="n">
        <f aca="false">D152*(1-Assumptions!$B$27-$E$7)+D153*(1-Assumptions!$B$28)+D154*(1-Assumptions!$B$29)+D155*(1-Assumptions!$B$30)</f>
        <v>29231.5952</v>
      </c>
      <c r="E157" s="83" t="n">
        <f aca="false">E152*(1-Assumptions!$B$27-$E$7)+E153*(1-Assumptions!$B$28)+E154*(1-Assumptions!$B$29)+E155*(1-Assumptions!$B$30)</f>
        <v>18635.3248</v>
      </c>
      <c r="F157" s="83" t="n">
        <f aca="false">F152*(1-Assumptions!$B$27-$E$7)+F153*(1-Assumptions!$B$28)+F154*(1-Assumptions!$B$29)+F155*(1-Assumptions!$B$30)</f>
        <v>18357.396</v>
      </c>
      <c r="G157" s="83" t="n">
        <f aca="false">G152*(1-Assumptions!$B$27-$E$7)+G153*(1-Assumptions!$B$28)+G154*(1-Assumptions!$B$29)+G155*(1-Assumptions!$B$30)</f>
        <v>13358.186</v>
      </c>
      <c r="H157" s="83" t="n">
        <f aca="false">H152*(1-Assumptions!$B$27-$E$7)+H153*(1-Assumptions!$B$28)+H154*(1-Assumptions!$B$29)+H155*(1-Assumptions!$B$30)</f>
        <v>13787.434</v>
      </c>
      <c r="I157" s="83" t="n">
        <f aca="false">I152*(1-Assumptions!$B$27-$E$7)+I153*(1-Assumptions!$B$28)+I154*(1-Assumptions!$B$29)+I155*(1-Assumptions!$B$30)</f>
        <v>20784.6</v>
      </c>
      <c r="J157" s="83" t="n">
        <f aca="false">J152*(1-Assumptions!$B$27-$E$7)+J153*(1-Assumptions!$B$28)+J154*(1-Assumptions!$B$29)+J155*(1-Assumptions!$B$30)</f>
        <v>14322.004</v>
      </c>
      <c r="K157" s="83" t="n">
        <f aca="false">K152*(1-Assumptions!$B$27-$E$7)+K153*(1-Assumptions!$B$28)+K154*(1-Assumptions!$B$29)+K155*(1-Assumptions!$B$30)</f>
        <v>14096.636</v>
      </c>
      <c r="L157" s="83" t="n">
        <f aca="false">L152*(1-Assumptions!$B$27-$E$7)+L153*(1-Assumptions!$B$28)+L154*(1-Assumptions!$B$29)+L155*(1-Assumptions!$B$30)</f>
        <v>14576.366</v>
      </c>
      <c r="M157" s="83" t="n">
        <f aca="false">M152*(1-Assumptions!$B$27-$E$7)+M153*(1-Assumptions!$B$28)+M154*(1-Assumptions!$B$29)+M155*(1-Assumptions!$B$30)</f>
        <v>26805.892</v>
      </c>
      <c r="N157" s="83" t="n">
        <f aca="false">N152*(1-Assumptions!$B$27-$E$7)+N153*(1-Assumptions!$B$28)+N154*(1-Assumptions!$B$29)+N155*(1-Assumptions!$B$30)</f>
        <v>15470.62</v>
      </c>
      <c r="O157" s="83" t="n">
        <f aca="false">O152*(1-Assumptions!$B$27-$E$7)+O153*(1-Assumptions!$B$28)+O154*(1-Assumptions!$B$29)+O155*(1-Assumptions!$B$30)</f>
        <v>25259.828</v>
      </c>
      <c r="P157" s="83" t="n">
        <f aca="false">SUM(C157:O157)</f>
        <v>243679.28</v>
      </c>
    </row>
    <row r="158" customFormat="false" ht="13.5" hidden="false" customHeight="true" outlineLevel="0" collapsed="false">
      <c r="A158" s="78" t="s">
        <v>527</v>
      </c>
      <c r="B158" s="62" t="s">
        <v>254</v>
      </c>
      <c r="C158" s="83" t="n">
        <f aca="false">C152*Assumptions!$B$66+IF(C150=1,Assumptions!$B$71,INDEX($C$152:$O$152,1,C150-1)*(1-Assumptions!$B$66))</f>
        <v>18197.668</v>
      </c>
      <c r="D158" s="83" t="n">
        <f aca="false">D152*Assumptions!$B$66+IF(D150=1,Assumptions!$B$71,INDEX($C$152:$O$152,1,D150-1)*(1-Assumptions!$B$66))</f>
        <v>20410.1072</v>
      </c>
      <c r="E158" s="83" t="n">
        <f aca="false">E152*Assumptions!$B$66+IF(E150=1,Assumptions!$B$71,INDEX($C$152:$O$152,1,E150-1)*(1-Assumptions!$B$66))</f>
        <v>17799.6896</v>
      </c>
      <c r="F158" s="83" t="n">
        <f aca="false">F152*Assumptions!$B$66+IF(F150=1,Assumptions!$B$71,INDEX($C$152:$O$152,1,F150-1)*(1-Assumptions!$B$66))</f>
        <v>17204.3312</v>
      </c>
      <c r="G158" s="83" t="n">
        <f aca="false">G152*Assumptions!$B$66+IF(G150=1,Assumptions!$B$71,INDEX($C$152:$O$152,1,G150-1)*(1-Assumptions!$B$66))</f>
        <v>1373.904</v>
      </c>
      <c r="H158" s="83" t="n">
        <f aca="false">H152*Assumptions!$B$66+IF(H150=1,Assumptions!$B$71,INDEX($C$152:$O$152,1,H150-1)*(1-Assumptions!$B$66))</f>
        <v>0</v>
      </c>
      <c r="I158" s="83" t="n">
        <f aca="false">I152*Assumptions!$B$66+IF(I150=1,Assumptions!$B$71,INDEX($C$152:$O$152,1,I150-1)*(1-Assumptions!$B$66))</f>
        <v>0</v>
      </c>
      <c r="J158" s="83" t="n">
        <f aca="false">J152*Assumptions!$B$66+IF(J150=1,Assumptions!$B$71,INDEX($C$152:$O$152,1,J150-1)*(1-Assumptions!$B$66))</f>
        <v>0</v>
      </c>
      <c r="K158" s="83" t="n">
        <f aca="false">K152*Assumptions!$B$66+IF(K150=1,Assumptions!$B$71,INDEX($C$152:$O$152,1,K150-1)*(1-Assumptions!$B$66))</f>
        <v>0</v>
      </c>
      <c r="L158" s="83" t="n">
        <f aca="false">L152*Assumptions!$B$66+IF(L150=1,Assumptions!$B$71,INDEX($C$152:$O$152,1,L150-1)*(1-Assumptions!$B$66))</f>
        <v>0</v>
      </c>
      <c r="M158" s="83" t="n">
        <f aca="false">M152*Assumptions!$B$66+IF(M150=1,Assumptions!$B$71,INDEX($C$152:$O$152,1,M150-1)*(1-Assumptions!$B$66))</f>
        <v>0</v>
      </c>
      <c r="N158" s="83" t="n">
        <f aca="false">N152*Assumptions!$B$66+IF(N150=1,Assumptions!$B$71,INDEX($C$152:$O$152,1,N150-1)*(1-Assumptions!$B$66))</f>
        <v>0</v>
      </c>
      <c r="O158" s="83" t="n">
        <f aca="false">O152*Assumptions!$B$66+IF(O150=1,Assumptions!$B$71,INDEX($C$152:$O$152,1,O150-1)*(1-Assumptions!$B$66))</f>
        <v>0</v>
      </c>
      <c r="P158" s="83" t="n">
        <f aca="false">SUM(C158:O158)</f>
        <v>74985.7</v>
      </c>
    </row>
    <row r="159" customFormat="false" ht="13.5" hidden="false" customHeight="true" outlineLevel="0" collapsed="false">
      <c r="A159" s="78" t="s">
        <v>255</v>
      </c>
      <c r="B159" s="62" t="s">
        <v>256</v>
      </c>
      <c r="C159" s="83" t="n">
        <f aca="false">C153*Assumptions!$B$67+IF(C150=1,Assumptions!$B$72,INDEX($C$153:$O$153,1,C150-1)*(1-Assumptions!$B$67))</f>
        <v>21016.22</v>
      </c>
      <c r="D159" s="83" t="n">
        <f aca="false">D153*Assumptions!$B$67+IF(D150=1,Assumptions!$B$72,INDEX($C$153:$O$153,1,D150-1)*(1-Assumptions!$B$67))</f>
        <v>22379.28</v>
      </c>
      <c r="E159" s="83" t="n">
        <f aca="false">E153*Assumptions!$B$67+IF(E150=1,Assumptions!$B$72,INDEX($C$153:$O$153,1,E150-1)*(1-Assumptions!$B$67))</f>
        <v>20988.66</v>
      </c>
      <c r="F159" s="83" t="n">
        <f aca="false">F153*Assumptions!$B$67+IF(F150=1,Assumptions!$B$72,INDEX($C$153:$O$153,1,F150-1)*(1-Assumptions!$B$67))</f>
        <v>20514.34</v>
      </c>
      <c r="G159" s="83" t="n">
        <f aca="false">G153*Assumptions!$B$67+IF(G150=1,Assumptions!$B$72,INDEX($C$153:$O$153,1,G150-1)*(1-Assumptions!$B$67))</f>
        <v>24986.12025</v>
      </c>
      <c r="H159" s="83" t="n">
        <f aca="false">H153*Assumptions!$B$67+IF(H150=1,Assumptions!$B$72,INDEX($C$153:$O$153,1,H150-1)*(1-Assumptions!$B$67))</f>
        <v>26492.942</v>
      </c>
      <c r="I159" s="83" t="n">
        <f aca="false">I153*Assumptions!$B$67+IF(I150=1,Assumptions!$B$72,INDEX($C$153:$O$153,1,I150-1)*(1-Assumptions!$B$67))</f>
        <v>27106.75275</v>
      </c>
      <c r="J159" s="83" t="n">
        <f aca="false">J153*Assumptions!$B$67+IF(J150=1,Assumptions!$B$72,INDEX($C$153:$O$153,1,J150-1)*(1-Assumptions!$B$67))</f>
        <v>27640.5185</v>
      </c>
      <c r="K159" s="83" t="n">
        <f aca="false">K153*Assumptions!$B$67+IF(K150=1,Assumptions!$B$72,INDEX($C$153:$O$153,1,K150-1)*(1-Assumptions!$B$67))</f>
        <v>27374.053</v>
      </c>
      <c r="L159" s="83" t="n">
        <f aca="false">L153*Assumptions!$B$67+IF(L150=1,Assumptions!$B$72,INDEX($C$153:$O$153,1,L150-1)*(1-Assumptions!$B$67))</f>
        <v>28065.61625</v>
      </c>
      <c r="M159" s="83" t="n">
        <f aca="false">M153*Assumptions!$B$67+IF(M150=1,Assumptions!$B$72,INDEX($C$153:$O$153,1,M150-1)*(1-Assumptions!$B$67))</f>
        <v>29053.10275</v>
      </c>
      <c r="N159" s="83" t="n">
        <f aca="false">N153*Assumptions!$B$67+IF(N150=1,Assumptions!$B$72,INDEX($C$153:$O$153,1,N150-1)*(1-Assumptions!$B$67))</f>
        <v>29915.907</v>
      </c>
      <c r="O159" s="83" t="n">
        <f aca="false">O153*Assumptions!$B$67+IF(O150=1,Assumptions!$B$72,INDEX($C$153:$O$153,1,O150-1)*(1-Assumptions!$B$67))</f>
        <v>31120.047</v>
      </c>
      <c r="P159" s="83" t="n">
        <f aca="false">SUM(C159:O159)</f>
        <v>336653.5595</v>
      </c>
    </row>
    <row r="160" customFormat="false" ht="13.5" hidden="false" customHeight="true" outlineLevel="0" collapsed="false">
      <c r="A160" s="78" t="s">
        <v>257</v>
      </c>
      <c r="B160" s="62" t="s">
        <v>258</v>
      </c>
      <c r="C160" s="83" t="n">
        <f aca="false">C154*Assumptions!$B$68+IF(C150=1,0,INDEX($C$154:$O$154,1,C150-1)*(1-Assumptions!$B$68))</f>
        <v>0</v>
      </c>
      <c r="D160" s="83" t="n">
        <f aca="false">D154*Assumptions!$B$68+IF(D150=1,0,INDEX($C$154:$O$154,1,D150-1)*(1-Assumptions!$B$68))</f>
        <v>23280</v>
      </c>
      <c r="E160" s="83" t="n">
        <f aca="false">E154*Assumptions!$B$68+IF(E150=1,0,INDEX($C$154:$O$154,1,E150-1)*(1-Assumptions!$B$68))</f>
        <v>0</v>
      </c>
      <c r="F160" s="83" t="n">
        <f aca="false">F154*Assumptions!$B$68+IF(F150=1,0,INDEX($C$154:$O$154,1,F150-1)*(1-Assumptions!$B$68))</f>
        <v>0</v>
      </c>
      <c r="G160" s="83" t="n">
        <f aca="false">G154*Assumptions!$B$68+IF(G150=1,0,INDEX($C$154:$O$154,1,G150-1)*(1-Assumptions!$B$68))</f>
        <v>0</v>
      </c>
      <c r="H160" s="83" t="n">
        <f aca="false">H154*Assumptions!$B$68+IF(H150=1,0,INDEX($C$154:$O$154,1,H150-1)*(1-Assumptions!$B$68))</f>
        <v>0</v>
      </c>
      <c r="I160" s="83" t="n">
        <f aca="false">I154*Assumptions!$B$68+IF(I150=1,0,INDEX($C$154:$O$154,1,I150-1)*(1-Assumptions!$B$68))</f>
        <v>18624</v>
      </c>
      <c r="J160" s="83" t="n">
        <f aca="false">J154*Assumptions!$B$68+IF(J150=1,0,INDEX($C$154:$O$154,1,J150-1)*(1-Assumptions!$B$68))</f>
        <v>0</v>
      </c>
      <c r="K160" s="83" t="n">
        <f aca="false">K154*Assumptions!$B$68+IF(K150=1,0,INDEX($C$154:$O$154,1,K150-1)*(1-Assumptions!$B$68))</f>
        <v>0</v>
      </c>
      <c r="L160" s="83" t="n">
        <f aca="false">L154*Assumptions!$B$68+IF(L150=1,0,INDEX($C$154:$O$154,1,L150-1)*(1-Assumptions!$B$68))</f>
        <v>0</v>
      </c>
      <c r="M160" s="83" t="n">
        <f aca="false">M154*Assumptions!$B$68+IF(M150=1,0,INDEX($C$154:$O$154,1,M150-1)*(1-Assumptions!$B$68))</f>
        <v>32592</v>
      </c>
      <c r="N160" s="83" t="n">
        <f aca="false">N154*Assumptions!$B$68+IF(N150=1,0,INDEX($C$154:$O$154,1,N150-1)*(1-Assumptions!$B$68))</f>
        <v>0</v>
      </c>
      <c r="O160" s="83" t="n">
        <f aca="false">O154*Assumptions!$B$68+IF(O150=1,0,INDEX($C$154:$O$154,1,O150-1)*(1-Assumptions!$B$68))</f>
        <v>25608</v>
      </c>
      <c r="P160" s="83" t="n">
        <f aca="false">SUM(C160:O160)</f>
        <v>100104</v>
      </c>
    </row>
    <row r="161" customFormat="false" ht="13.5" hidden="false" customHeight="true" outlineLevel="0" collapsed="false">
      <c r="A161" s="78" t="s">
        <v>528</v>
      </c>
      <c r="B161" s="62" t="s">
        <v>260</v>
      </c>
      <c r="C161" s="83" t="n">
        <f aca="false">IF(C150&lt;=Assumptions!$B$69,Assumptions!$B$73/Assumptions!$B$69,INDEX($C$155:$O$155,1,C150-Assumptions!$B$69)*(1-Assumptions!$B$41))</f>
        <v>5495</v>
      </c>
      <c r="D161" s="83" t="n">
        <f aca="false">IF(D150&lt;=Assumptions!$B$69,Assumptions!$B$73/Assumptions!$B$69,INDEX($C$155:$O$155,1,D150-Assumptions!$B$69)*(1-Assumptions!$B$41))</f>
        <v>5495</v>
      </c>
      <c r="E161" s="83" t="n">
        <f aca="false">IF(E150&lt;=Assumptions!$B$69,Assumptions!$B$73/Assumptions!$B$69,INDEX($C$155:$O$155,1,E150-Assumptions!$B$69)*(1-Assumptions!$B$41))</f>
        <v>5495</v>
      </c>
      <c r="F161" s="83" t="n">
        <f aca="false">IF(F150&lt;=Assumptions!$B$69,Assumptions!$B$73/Assumptions!$B$69,INDEX($C$155:$O$155,1,F150-Assumptions!$B$69)*(1-Assumptions!$B$41))</f>
        <v>5495</v>
      </c>
      <c r="G161" s="83" t="n">
        <f aca="false">IF(G150&lt;=Assumptions!$B$69,Assumptions!$B$73/Assumptions!$B$69,INDEX($C$155:$O$155,1,G150-Assumptions!$B$69)*(1-Assumptions!$B$41))</f>
        <v>5275.2</v>
      </c>
      <c r="H161" s="83" t="n">
        <f aca="false">IF(H150&lt;=Assumptions!$B$69,Assumptions!$B$73/Assumptions!$B$69,INDEX($C$155:$O$155,1,H150-Assumptions!$B$69)*(1-Assumptions!$B$41))</f>
        <v>5495</v>
      </c>
      <c r="I161" s="83" t="n">
        <f aca="false">IF(I150&lt;=Assumptions!$B$69,Assumptions!$B$73/Assumptions!$B$69,INDEX($C$155:$O$155,1,I150-Assumptions!$B$69)*(1-Assumptions!$B$41))</f>
        <v>5220.25</v>
      </c>
      <c r="J161" s="83" t="n">
        <f aca="false">IF(J150&lt;=Assumptions!$B$69,Assumptions!$B$73/Assumptions!$B$69,INDEX($C$155:$O$155,1,J150-Assumptions!$B$69)*(1-Assumptions!$B$41))</f>
        <v>5165.3</v>
      </c>
      <c r="K161" s="83" t="n">
        <f aca="false">IF(K150&lt;=Assumptions!$B$69,Assumptions!$B$73/Assumptions!$B$69,INDEX($C$155:$O$155,1,K150-Assumptions!$B$69)*(1-Assumptions!$B$41))</f>
        <v>5330.15</v>
      </c>
      <c r="L161" s="83" t="n">
        <f aca="false">IF(L150&lt;=Assumptions!$B$69,Assumptions!$B$73/Assumptions!$B$69,INDEX($C$155:$O$155,1,L150-Assumptions!$B$69)*(1-Assumptions!$B$41))</f>
        <v>5495</v>
      </c>
      <c r="M161" s="83" t="n">
        <f aca="false">IF(M150&lt;=Assumptions!$B$69,Assumptions!$B$73/Assumptions!$B$69,INDEX($C$155:$O$155,1,M150-Assumptions!$B$69)*(1-Assumptions!$B$41))</f>
        <v>5604.9</v>
      </c>
      <c r="N161" s="83" t="n">
        <f aca="false">IF(N150&lt;=Assumptions!$B$69,Assumptions!$B$73/Assumptions!$B$69,INDEX($C$155:$O$155,1,N150-Assumptions!$B$69)*(1-Assumptions!$B$41))</f>
        <v>5659.85</v>
      </c>
      <c r="O161" s="83" t="n">
        <f aca="false">IF(O150&lt;=Assumptions!$B$69,Assumptions!$B$73/Assumptions!$B$69,INDEX($C$155:$O$155,1,O150-Assumptions!$B$69)*(1-Assumptions!$B$41))</f>
        <v>5549.95</v>
      </c>
      <c r="P161" s="83" t="n">
        <f aca="false">SUM(C161:O161)</f>
        <v>70775.6</v>
      </c>
    </row>
    <row r="162" customFormat="false" ht="13.5" hidden="false" customHeight="true" outlineLevel="0" collapsed="false">
      <c r="A162" s="78" t="s">
        <v>529</v>
      </c>
      <c r="B162" s="62" t="s">
        <v>262</v>
      </c>
      <c r="C162" s="83" t="n">
        <f aca="false">IF(C150=$E$19,$E$18,0)+IF(C150=Assumptions!$B$124,Assumptions!$B$123,0)</f>
        <v>0</v>
      </c>
      <c r="D162" s="83" t="n">
        <f aca="false">IF(D150=$E$19,$E$18,0)+IF(D150=Assumptions!$B$124,Assumptions!$B$123,0)</f>
        <v>0</v>
      </c>
      <c r="E162" s="83" t="n">
        <f aca="false">IF(E150=$E$19,$E$18,0)+IF(E150=Assumptions!$B$124,Assumptions!$B$123,0)</f>
        <v>0</v>
      </c>
      <c r="F162" s="83" t="n">
        <f aca="false">IF(F150=$E$19,$E$18,0)+IF(F150=Assumptions!$B$124,Assumptions!$B$123,0)</f>
        <v>0</v>
      </c>
      <c r="G162" s="83" t="n">
        <f aca="false">IF(G150=$E$19,$E$18,0)+IF(G150=Assumptions!$B$124,Assumptions!$B$123,0)</f>
        <v>0</v>
      </c>
      <c r="H162" s="83" t="n">
        <f aca="false">IF(H150=$E$19,$E$18,0)+IF(H150=Assumptions!$B$124,Assumptions!$B$123,0)</f>
        <v>42000</v>
      </c>
      <c r="I162" s="83" t="n">
        <f aca="false">IF(I150=$E$19,$E$18,0)+IF(I150=Assumptions!$B$124,Assumptions!$B$123,0)</f>
        <v>0</v>
      </c>
      <c r="J162" s="83" t="n">
        <f aca="false">IF(J150=$E$19,$E$18,0)+IF(J150=Assumptions!$B$124,Assumptions!$B$123,0)</f>
        <v>0</v>
      </c>
      <c r="K162" s="83" t="n">
        <f aca="false">IF(K150=$E$19,$E$18,0)+IF(K150=Assumptions!$B$124,Assumptions!$B$123,0)</f>
        <v>0</v>
      </c>
      <c r="L162" s="83" t="n">
        <f aca="false">IF(L150=$E$19,$E$18,0)+IF(L150=Assumptions!$B$124,Assumptions!$B$123,0)</f>
        <v>0</v>
      </c>
      <c r="M162" s="83" t="n">
        <f aca="false">IF(M150=$E$19,$E$18,0)+IF(M150=Assumptions!$B$124,Assumptions!$B$123,0)</f>
        <v>0</v>
      </c>
      <c r="N162" s="83" t="n">
        <f aca="false">IF(N150=$E$19,$E$18,0)+IF(N150=Assumptions!$B$124,Assumptions!$B$123,0)</f>
        <v>0</v>
      </c>
      <c r="O162" s="83" t="n">
        <f aca="false">IF(O150=$E$19,$E$18,0)+IF(O150=Assumptions!$B$124,Assumptions!$B$123,0)</f>
        <v>0</v>
      </c>
      <c r="P162" s="83" t="n">
        <f aca="false">SUM(C162:O162)</f>
        <v>42000</v>
      </c>
    </row>
    <row r="163" customFormat="false" ht="13.5" hidden="false" customHeight="true" outlineLevel="0" collapsed="false">
      <c r="A163" s="81" t="s">
        <v>263</v>
      </c>
      <c r="B163" s="23"/>
      <c r="C163" s="145" t="n">
        <f aca="false">SUM(C158:C162)</f>
        <v>44708.888</v>
      </c>
      <c r="D163" s="145" t="n">
        <f aca="false">SUM(D158:D162)</f>
        <v>71564.3872</v>
      </c>
      <c r="E163" s="145" t="n">
        <f aca="false">SUM(E158:E162)</f>
        <v>44283.3496</v>
      </c>
      <c r="F163" s="145" t="n">
        <f aca="false">SUM(F158:F162)</f>
        <v>43213.6712</v>
      </c>
      <c r="G163" s="145" t="n">
        <f aca="false">SUM(G158:G162)</f>
        <v>31635.22425</v>
      </c>
      <c r="H163" s="145" t="n">
        <f aca="false">SUM(H158:H162)</f>
        <v>73987.942</v>
      </c>
      <c r="I163" s="145" t="n">
        <f aca="false">SUM(I158:I162)</f>
        <v>50951.00275</v>
      </c>
      <c r="J163" s="145" t="n">
        <f aca="false">SUM(J158:J162)</f>
        <v>32805.8185</v>
      </c>
      <c r="K163" s="145" t="n">
        <f aca="false">SUM(K158:K162)</f>
        <v>32704.203</v>
      </c>
      <c r="L163" s="145" t="n">
        <f aca="false">SUM(L158:L162)</f>
        <v>33560.61625</v>
      </c>
      <c r="M163" s="145" t="n">
        <f aca="false">SUM(M158:M162)</f>
        <v>67250.00275</v>
      </c>
      <c r="N163" s="145" t="n">
        <f aca="false">SUM(N158:N162)</f>
        <v>35575.757</v>
      </c>
      <c r="O163" s="145" t="n">
        <f aca="false">SUM(O158:O162)</f>
        <v>62277.997</v>
      </c>
      <c r="P163" s="145" t="n">
        <f aca="false">SUM(C163:O163)</f>
        <v>624518.8595</v>
      </c>
    </row>
    <row r="164" customFormat="false" ht="13.5" hidden="false" customHeight="true" outlineLevel="0" collapsed="false">
      <c r="A164" s="78" t="s">
        <v>265</v>
      </c>
      <c r="B164" s="62" t="s">
        <v>530</v>
      </c>
      <c r="C164" s="83" t="n">
        <f aca="false">C157*Assumptions!$B$75*IF(C151=1,1,$E$20)+SUMIFS(Assumptions!$B$115:$B$118,Assumptions!$C$115:$C$118,C150)</f>
        <v>11016.17084</v>
      </c>
      <c r="D164" s="83" t="n">
        <f aca="false">D157*Assumptions!$B$75*IF(D151=1,1,$E$20)+SUMIFS(Assumptions!$B$115:$B$118,Assumptions!$C$115:$C$118,D150)</f>
        <v>70954.325216</v>
      </c>
      <c r="E164" s="83" t="n">
        <f aca="false">E157*Assumptions!$B$75*IF(E151=1,1,$E$20)+SUMIFS(Assumptions!$B$115:$B$118,Assumptions!$C$115:$C$118,E150)</f>
        <v>10808.488384</v>
      </c>
      <c r="F164" s="83" t="n">
        <f aca="false">F157*Assumptions!$B$75*IF(F151=1,1,$E$20)+SUMIFS(Assumptions!$B$115:$B$118,Assumptions!$C$115:$C$118,F150)</f>
        <v>10647.28968</v>
      </c>
      <c r="G164" s="83" t="n">
        <f aca="false">G157*Assumptions!$B$75*IF(G151=1,1,$E$20)+SUMIFS(Assumptions!$B$115:$B$118,Assumptions!$C$115:$C$118,G150)</f>
        <v>52198.198304</v>
      </c>
      <c r="H164" s="83" t="n">
        <f aca="false">H157*Assumptions!$B$75*IF(H151=1,1,$E$20)+SUMIFS(Assumptions!$B$115:$B$118,Assumptions!$C$115:$C$118,H150)</f>
        <v>6397.369376</v>
      </c>
      <c r="I164" s="83" t="n">
        <f aca="false">I157*Assumptions!$B$75*IF(I151=1,1,$E$20)+SUMIFS(Assumptions!$B$115:$B$118,Assumptions!$C$115:$C$118,I150)</f>
        <v>9644.0544</v>
      </c>
      <c r="J164" s="83" t="n">
        <f aca="false">J157*Assumptions!$B$75*IF(J151=1,1,$E$20)+SUMIFS(Assumptions!$B$115:$B$118,Assumptions!$C$115:$C$118,J150)</f>
        <v>88645.409856</v>
      </c>
      <c r="K164" s="83" t="n">
        <f aca="false">K157*Assumptions!$B$75*IF(K151=1,1,$E$20)+SUMIFS(Assumptions!$B$115:$B$118,Assumptions!$C$115:$C$118,K150)</f>
        <v>6540.839104</v>
      </c>
      <c r="L164" s="83" t="n">
        <f aca="false">L157*Assumptions!$B$75*IF(L151=1,1,$E$20)+SUMIFS(Assumptions!$B$115:$B$118,Assumptions!$C$115:$C$118,L150)</f>
        <v>6763.433824</v>
      </c>
      <c r="M164" s="83" t="n">
        <f aca="false">M157*Assumptions!$B$75*IF(M151=1,1,$E$20)+SUMIFS(Assumptions!$B$115:$B$118,Assumptions!$C$115:$C$118,M150)</f>
        <v>65437.933888</v>
      </c>
      <c r="N164" s="83" t="n">
        <f aca="false">N157*Assumptions!$B$75*IF(N151=1,1,$E$20)+SUMIFS(Assumptions!$B$115:$B$118,Assumptions!$C$115:$C$118,N150)</f>
        <v>7178.36768</v>
      </c>
      <c r="O164" s="83" t="n">
        <f aca="false">O157*Assumptions!$B$75*IF(O151=1,1,$E$20)+SUMIFS(Assumptions!$B$115:$B$118,Assumptions!$C$115:$C$118,O150)</f>
        <v>11720.560192</v>
      </c>
      <c r="P164" s="83" t="n">
        <f aca="false">SUM(C164:O164)</f>
        <v>357952.440744</v>
      </c>
    </row>
    <row r="165" customFormat="false" ht="13.5" hidden="false" customHeight="true" outlineLevel="0" collapsed="false">
      <c r="A165" s="78" t="s">
        <v>531</v>
      </c>
      <c r="B165" s="62" t="s">
        <v>163</v>
      </c>
      <c r="C165" s="83" t="n">
        <f aca="false">(Assumptions!$B$46*(1+$E$8)*C151+Assumptions!$B$91)*'13W Cash Flow'!C$69</f>
        <v>0</v>
      </c>
      <c r="D165" s="83" t="n">
        <f aca="false">(Assumptions!$B$46*(1+$E$8)*D151+Assumptions!$B$91)*'13W Cash Flow'!D$69</f>
        <v>0</v>
      </c>
      <c r="E165" s="83" t="n">
        <f aca="false">(Assumptions!$B$46*(1+$E$8)*E151+Assumptions!$B$91)*'13W Cash Flow'!E$69</f>
        <v>0</v>
      </c>
      <c r="F165" s="83" t="n">
        <f aca="false">(Assumptions!$B$46*(1+$E$8)*F151+Assumptions!$B$91)*'13W Cash Flow'!F$69</f>
        <v>0</v>
      </c>
      <c r="G165" s="83" t="n">
        <f aca="false">(Assumptions!$B$46*(1+$E$8)*G151+Assumptions!$B$91)*'13W Cash Flow'!G$69</f>
        <v>26200</v>
      </c>
      <c r="H165" s="83" t="n">
        <f aca="false">(Assumptions!$B$46*(1+$E$8)*H151+Assumptions!$B$91)*'13W Cash Flow'!H$69</f>
        <v>0</v>
      </c>
      <c r="I165" s="83" t="n">
        <f aca="false">(Assumptions!$B$46*(1+$E$8)*I151+Assumptions!$B$91)*'13W Cash Flow'!I$69</f>
        <v>0</v>
      </c>
      <c r="J165" s="83" t="n">
        <f aca="false">(Assumptions!$B$46*(1+$E$8)*J151+Assumptions!$B$91)*'13W Cash Flow'!J$69</f>
        <v>0</v>
      </c>
      <c r="K165" s="83" t="n">
        <f aca="false">(Assumptions!$B$46*(1+$E$8)*K151+Assumptions!$B$91)*'13W Cash Flow'!K$69</f>
        <v>26200</v>
      </c>
      <c r="L165" s="83" t="n">
        <f aca="false">(Assumptions!$B$46*(1+$E$8)*L151+Assumptions!$B$91)*'13W Cash Flow'!L$69</f>
        <v>0</v>
      </c>
      <c r="M165" s="83" t="n">
        <f aca="false">(Assumptions!$B$46*(1+$E$8)*M151+Assumptions!$B$91)*'13W Cash Flow'!M$69</f>
        <v>0</v>
      </c>
      <c r="N165" s="83" t="n">
        <f aca="false">(Assumptions!$B$46*(1+$E$8)*N151+Assumptions!$B$91)*'13W Cash Flow'!N$69</f>
        <v>0</v>
      </c>
      <c r="O165" s="83" t="n">
        <f aca="false">(Assumptions!$B$46*(1+$E$8)*O151+Assumptions!$B$91)*'13W Cash Flow'!O$69</f>
        <v>26200</v>
      </c>
      <c r="P165" s="83" t="n">
        <f aca="false">SUM(C165:O165)</f>
        <v>78600</v>
      </c>
    </row>
    <row r="166" customFormat="false" ht="13.5" hidden="false" customHeight="true" outlineLevel="0" collapsed="false">
      <c r="A166" s="78" t="s">
        <v>532</v>
      </c>
      <c r="B166" s="62" t="s">
        <v>533</v>
      </c>
      <c r="C166" s="83" t="n">
        <f aca="false">C151*(Assumptions!$B$45*'13W Cash Flow'!C$64+(Assumptions!$B$47*'13W Cash Flow'!C$67+Assumptions!$B$48*'13W Cash Flow'!C$66+Assumptions!$B$49*'13W Cash Flow'!C$64)*(1+$E$9))</f>
        <v>0</v>
      </c>
      <c r="D166" s="83" t="n">
        <f aca="false">D151*(Assumptions!$B$45*'13W Cash Flow'!D$64+(Assumptions!$B$47*'13W Cash Flow'!D$67+Assumptions!$B$48*'13W Cash Flow'!D$66+Assumptions!$B$49*'13W Cash Flow'!D$64)*(1+$E$9))</f>
        <v>3050</v>
      </c>
      <c r="E166" s="83" t="n">
        <f aca="false">E151*(Assumptions!$B$45*'13W Cash Flow'!E$64+(Assumptions!$B$47*'13W Cash Flow'!E$67+Assumptions!$B$48*'13W Cash Flow'!E$66+Assumptions!$B$49*'13W Cash Flow'!E$64)*(1+$E$9))</f>
        <v>0</v>
      </c>
      <c r="F166" s="83" t="n">
        <f aca="false">F151*(Assumptions!$B$45*'13W Cash Flow'!F$64+(Assumptions!$B$47*'13W Cash Flow'!F$67+Assumptions!$B$48*'13W Cash Flow'!F$66+Assumptions!$B$49*'13W Cash Flow'!F$64)*(1+$E$9))</f>
        <v>0</v>
      </c>
      <c r="G166" s="83" t="n">
        <f aca="false">G151*(Assumptions!$B$45*'13W Cash Flow'!G$64+(Assumptions!$B$47*'13W Cash Flow'!G$67+Assumptions!$B$48*'13W Cash Flow'!G$66+Assumptions!$B$49*'13W Cash Flow'!G$64)*(1+$E$9))</f>
        <v>0</v>
      </c>
      <c r="H166" s="83" t="n">
        <f aca="false">H151*(Assumptions!$B$45*'13W Cash Flow'!H$64+(Assumptions!$B$47*'13W Cash Flow'!H$67+Assumptions!$B$48*'13W Cash Flow'!H$66+Assumptions!$B$49*'13W Cash Flow'!H$64)*(1+$E$9))</f>
        <v>0</v>
      </c>
      <c r="I166" s="83" t="n">
        <f aca="false">I151*(Assumptions!$B$45*'13W Cash Flow'!I$64+(Assumptions!$B$47*'13W Cash Flow'!I$67+Assumptions!$B$48*'13W Cash Flow'!I$66+Assumptions!$B$49*'13W Cash Flow'!I$64)*(1+$E$9))</f>
        <v>0</v>
      </c>
      <c r="J166" s="83" t="n">
        <f aca="false">J151*(Assumptions!$B$45*'13W Cash Flow'!J$64+(Assumptions!$B$47*'13W Cash Flow'!J$67+Assumptions!$B$48*'13W Cash Flow'!J$66+Assumptions!$B$49*'13W Cash Flow'!J$64)*(1+$E$9))</f>
        <v>0</v>
      </c>
      <c r="K166" s="83" t="n">
        <f aca="false">K151*(Assumptions!$B$45*'13W Cash Flow'!K$64+(Assumptions!$B$47*'13W Cash Flow'!K$67+Assumptions!$B$48*'13W Cash Flow'!K$66+Assumptions!$B$49*'13W Cash Flow'!K$64)*(1+$E$9))</f>
        <v>0</v>
      </c>
      <c r="L166" s="83" t="n">
        <f aca="false">L151*(Assumptions!$B$45*'13W Cash Flow'!L$64+(Assumptions!$B$47*'13W Cash Flow'!L$67+Assumptions!$B$48*'13W Cash Flow'!L$66+Assumptions!$B$49*'13W Cash Flow'!L$64)*(1+$E$9))</f>
        <v>0</v>
      </c>
      <c r="M166" s="83" t="n">
        <f aca="false">M151*(Assumptions!$B$45*'13W Cash Flow'!M$64+(Assumptions!$B$47*'13W Cash Flow'!M$67+Assumptions!$B$48*'13W Cash Flow'!M$66+Assumptions!$B$49*'13W Cash Flow'!M$64)*(1+$E$9))</f>
        <v>0</v>
      </c>
      <c r="N166" s="83" t="n">
        <f aca="false">N151*(Assumptions!$B$45*'13W Cash Flow'!N$64+(Assumptions!$B$47*'13W Cash Flow'!N$67+Assumptions!$B$48*'13W Cash Flow'!N$66+Assumptions!$B$49*'13W Cash Flow'!N$64)*(1+$E$9))</f>
        <v>0</v>
      </c>
      <c r="O166" s="83" t="n">
        <f aca="false">O151*(Assumptions!$B$45*'13W Cash Flow'!O$64+(Assumptions!$B$47*'13W Cash Flow'!O$67+Assumptions!$B$48*'13W Cash Flow'!O$66+Assumptions!$B$49*'13W Cash Flow'!O$64)*(1+$E$9))</f>
        <v>0</v>
      </c>
      <c r="P166" s="83" t="n">
        <f aca="false">SUM(C166:O166)</f>
        <v>3050</v>
      </c>
    </row>
    <row r="167" customFormat="false" ht="13.5" hidden="false" customHeight="true" outlineLevel="0" collapsed="false">
      <c r="A167" s="78" t="s">
        <v>534</v>
      </c>
      <c r="B167" s="62" t="s">
        <v>272</v>
      </c>
      <c r="C167" s="83" t="n">
        <f aca="false">C153*Assumptions!$B$39*$E$12+Assumptions!$B$61*'13W Cash Flow'!C$66</f>
        <v>2446.8444</v>
      </c>
      <c r="D167" s="83" t="n">
        <f aca="false">D153*Assumptions!$B$39*$E$12+Assumptions!$B$61*'13W Cash Flow'!D$66</f>
        <v>7148.646</v>
      </c>
      <c r="E167" s="83" t="n">
        <f aca="false">E153*Assumptions!$B$39*$E$12+Assumptions!$B$61*'13W Cash Flow'!E$66</f>
        <v>2421.6192</v>
      </c>
      <c r="F167" s="83" t="n">
        <f aca="false">F153*Assumptions!$B$39*$E$12+Assumptions!$B$61*'13W Cash Flow'!F$66</f>
        <v>2396.394</v>
      </c>
      <c r="G167" s="83" t="n">
        <f aca="false">G153*Assumptions!$B$39*$E$12+Assumptions!$B$61*'13W Cash Flow'!G$66</f>
        <v>3016.372905</v>
      </c>
      <c r="H167" s="83" t="n">
        <f aca="false">H153*Assumptions!$B$39*$E$12+Assumptions!$B$61*'13W Cash Flow'!H$66</f>
        <v>7614.374445</v>
      </c>
      <c r="I167" s="83" t="n">
        <f aca="false">I153*Assumptions!$B$39*$E$12+Assumptions!$B$61*'13W Cash Flow'!I$66</f>
        <v>3181.5693</v>
      </c>
      <c r="J167" s="83" t="n">
        <f aca="false">J153*Assumptions!$B$39*$E$12+Assumptions!$B$61*'13W Cash Flow'!J$66</f>
        <v>3243.18267</v>
      </c>
      <c r="K167" s="83" t="n">
        <f aca="false">K153*Assumptions!$B$39*$E$12+Assumptions!$B$61*'13W Cash Flow'!K$66</f>
        <v>3195.63153</v>
      </c>
      <c r="L167" s="83" t="n">
        <f aca="false">L153*Assumptions!$B$39*$E$12+Assumptions!$B$61*'13W Cash Flow'!L$66</f>
        <v>7799.214555</v>
      </c>
      <c r="M167" s="83" t="n">
        <f aca="false">M153*Assumptions!$B$39*$E$12+Assumptions!$B$61*'13W Cash Flow'!M$66</f>
        <v>3416.85981</v>
      </c>
      <c r="N167" s="83" t="n">
        <f aca="false">N153*Assumptions!$B$39*$E$12+Assumptions!$B$61*'13W Cash Flow'!N$66</f>
        <v>3514.86135</v>
      </c>
      <c r="O167" s="83" t="n">
        <f aca="false">O153*Assumptions!$B$39*$E$12+Assumptions!$B$61*'13W Cash Flow'!O$66</f>
        <v>3663.31329</v>
      </c>
      <c r="P167" s="83" t="n">
        <f aca="false">SUM(C167:O167)</f>
        <v>53058.883455</v>
      </c>
    </row>
    <row r="168" customFormat="false" ht="13.5" hidden="false" customHeight="true" outlineLevel="0" collapsed="false">
      <c r="A168" s="78" t="s">
        <v>352</v>
      </c>
      <c r="B168" s="62" t="s">
        <v>274</v>
      </c>
      <c r="C168" s="83" t="n">
        <f aca="false">C153*Assumptions!$B$38+C155*Assumptions!$B$42</f>
        <v>1472.398</v>
      </c>
      <c r="D168" s="83" t="n">
        <f aca="false">D153*Assumptions!$B$38+D155*Assumptions!$B$42</f>
        <v>1589.22</v>
      </c>
      <c r="E168" s="83" t="n">
        <f aca="false">E153*Assumptions!$B$38+E155*Assumptions!$B$42</f>
        <v>1457.2065</v>
      </c>
      <c r="F168" s="83" t="n">
        <f aca="false">F153*Assumptions!$B$38+F155*Assumptions!$B$42</f>
        <v>1442.015</v>
      </c>
      <c r="G168" s="83" t="n">
        <f aca="false">G153*Assumptions!$B$38+G155*Assumptions!$B$42</f>
        <v>1789.980225</v>
      </c>
      <c r="H168" s="83" t="n">
        <f aca="false">H153*Assumptions!$B$38+H155*Assumptions!$B$42</f>
        <v>1847.958025</v>
      </c>
      <c r="I168" s="83" t="n">
        <f aca="false">I153*Assumptions!$B$38+I155*Assumptions!$B$42</f>
        <v>1887.6435</v>
      </c>
      <c r="J168" s="83" t="n">
        <f aca="false">J153*Assumptions!$B$38+J155*Assumptions!$B$42</f>
        <v>1923.05065</v>
      </c>
      <c r="K168" s="83" t="n">
        <f aca="false">K153*Assumptions!$B$38+K155*Assumptions!$B$42</f>
        <v>1894.27835</v>
      </c>
      <c r="L168" s="83" t="n">
        <f aca="false">L153*Assumptions!$B$38+L155*Assumptions!$B$42</f>
        <v>1956.534475</v>
      </c>
      <c r="M168" s="83" t="n">
        <f aca="false">M153*Assumptions!$B$38+M155*Assumptions!$B$42</f>
        <v>2025.42545</v>
      </c>
      <c r="N168" s="83" t="n">
        <f aca="false">N153*Assumptions!$B$38+N155*Assumptions!$B$42</f>
        <v>2082.22575</v>
      </c>
      <c r="O168" s="83" t="n">
        <f aca="false">O153*Assumptions!$B$38+O155*Assumptions!$B$42</f>
        <v>2167.05405</v>
      </c>
      <c r="P168" s="83" t="n">
        <f aca="false">SUM(C168:O168)</f>
        <v>23534.989975</v>
      </c>
    </row>
    <row r="169" customFormat="false" ht="13.5" hidden="false" customHeight="true" outlineLevel="0" collapsed="false">
      <c r="A169" s="78" t="s">
        <v>275</v>
      </c>
      <c r="B169" s="62" t="s">
        <v>274</v>
      </c>
      <c r="C169" s="83" t="n">
        <f aca="false">C152*Assumptions!$B$33+C153*Assumptions!$B$34+C154*Assumptions!$B$35</f>
        <v>932.785</v>
      </c>
      <c r="D169" s="83" t="n">
        <f aca="false">D152*Assumptions!$B$33+D153*Assumptions!$B$34+D154*Assumptions!$B$35</f>
        <v>1469.77608</v>
      </c>
      <c r="E169" s="83" t="n">
        <f aca="false">E152*Assumptions!$B$33+E153*Assumptions!$B$34+E154*Assumptions!$B$35</f>
        <v>916.22832</v>
      </c>
      <c r="F169" s="83" t="n">
        <f aca="false">F152*Assumptions!$B$33+F153*Assumptions!$B$34+F154*Assumptions!$B$35</f>
        <v>903.1064</v>
      </c>
      <c r="G169" s="83" t="n">
        <f aca="false">G152*Assumptions!$B$33+G153*Assumptions!$B$34+G154*Assumptions!$B$35</f>
        <v>747.647985</v>
      </c>
      <c r="H169" s="83" t="n">
        <f aca="false">H152*Assumptions!$B$33+H153*Assumptions!$B$34+H154*Assumptions!$B$35</f>
        <v>771.938965</v>
      </c>
      <c r="I169" s="83" t="n">
        <f aca="false">I152*Assumptions!$B$33+I153*Assumptions!$B$34+I154*Assumptions!$B$35</f>
        <v>1142.4501</v>
      </c>
      <c r="J169" s="83" t="n">
        <f aca="false">J152*Assumptions!$B$33+J153*Assumptions!$B$34+J154*Assumptions!$B$35</f>
        <v>803.86579</v>
      </c>
      <c r="K169" s="83" t="n">
        <f aca="false">K152*Assumptions!$B$33+K153*Assumptions!$B$34+K154*Assumptions!$B$35</f>
        <v>792.07961</v>
      </c>
      <c r="L169" s="83" t="n">
        <f aca="false">L152*Assumptions!$B$33+L153*Assumptions!$B$34+L154*Assumptions!$B$35</f>
        <v>817.754035</v>
      </c>
      <c r="M169" s="83" t="n">
        <f aca="false">M152*Assumptions!$B$33+M153*Assumptions!$B$34+M154*Assumptions!$B$35</f>
        <v>1466.16197</v>
      </c>
      <c r="N169" s="83" t="n">
        <f aca="false">N152*Assumptions!$B$33+N153*Assumptions!$B$34+N154*Assumptions!$B$35</f>
        <v>871.20495</v>
      </c>
      <c r="O169" s="83" t="n">
        <f aca="false">O152*Assumptions!$B$33+O153*Assumptions!$B$34+O154*Assumptions!$B$35</f>
        <v>1394.55273</v>
      </c>
      <c r="P169" s="83" t="n">
        <f aca="false">SUM(C169:O169)</f>
        <v>13029.551935</v>
      </c>
    </row>
    <row r="170" customFormat="false" ht="13.5" hidden="false" customHeight="true" outlineLevel="0" collapsed="false">
      <c r="A170" s="78" t="s">
        <v>535</v>
      </c>
      <c r="B170" s="62" t="s">
        <v>274</v>
      </c>
      <c r="C170" s="83" t="n">
        <f aca="false">C154*Assumptions!$B$40+C152*(Assumptions!$B$36+Assumptions!$B$37)</f>
        <v>688.8602</v>
      </c>
      <c r="D170" s="83" t="n">
        <f aca="false">D154*Assumptions!$B$40+D152*(Assumptions!$B$36+Assumptions!$B$37)</f>
        <v>4973.52528</v>
      </c>
      <c r="E170" s="83" t="n">
        <f aca="false">E154*Assumptions!$B$40+E152*(Assumptions!$B$36+Assumptions!$B$37)</f>
        <v>667.10672</v>
      </c>
      <c r="F170" s="83" t="n">
        <f aca="false">F154*Assumptions!$B$40+F152*(Assumptions!$B$36+Assumptions!$B$37)</f>
        <v>652.6044</v>
      </c>
      <c r="G170" s="83" t="n">
        <f aca="false">G154*Assumptions!$B$40+G152*(Assumptions!$B$36+Assumptions!$B$37)</f>
        <v>0</v>
      </c>
      <c r="H170" s="83" t="n">
        <f aca="false">H154*Assumptions!$B$40+H152*(Assumptions!$B$36+Assumptions!$B$37)</f>
        <v>0</v>
      </c>
      <c r="I170" s="83" t="n">
        <f aca="false">I154*Assumptions!$B$40+I152*(Assumptions!$B$36+Assumptions!$B$37)</f>
        <v>3352.32</v>
      </c>
      <c r="J170" s="83" t="n">
        <f aca="false">J154*Assumptions!$B$40+J152*(Assumptions!$B$36+Assumptions!$B$37)</f>
        <v>0</v>
      </c>
      <c r="K170" s="83" t="n">
        <f aca="false">K154*Assumptions!$B$40+K152*(Assumptions!$B$36+Assumptions!$B$37)</f>
        <v>0</v>
      </c>
      <c r="L170" s="83" t="n">
        <f aca="false">L154*Assumptions!$B$40+L152*(Assumptions!$B$36+Assumptions!$B$37)</f>
        <v>0</v>
      </c>
      <c r="M170" s="83" t="n">
        <f aca="false">M154*Assumptions!$B$40+M152*(Assumptions!$B$36+Assumptions!$B$37)</f>
        <v>5866.56</v>
      </c>
      <c r="N170" s="83" t="n">
        <f aca="false">N154*Assumptions!$B$40+N152*(Assumptions!$B$36+Assumptions!$B$37)</f>
        <v>0</v>
      </c>
      <c r="O170" s="83" t="n">
        <f aca="false">O154*Assumptions!$B$40+O152*(Assumptions!$B$36+Assumptions!$B$37)</f>
        <v>4609.44</v>
      </c>
      <c r="P170" s="83" t="n">
        <f aca="false">SUM(C170:O170)</f>
        <v>20810.4166</v>
      </c>
    </row>
    <row r="171" customFormat="false" ht="13.5" hidden="false" customHeight="true" outlineLevel="0" collapsed="false">
      <c r="A171" s="78" t="s">
        <v>536</v>
      </c>
      <c r="B171" s="62" t="s">
        <v>537</v>
      </c>
      <c r="C171" s="83" t="n">
        <f aca="false">(Assumptions!$B$60+Assumptions!$B$53)*'13W Cash Flow'!C$66+Assumptions!$B$59*'13W Cash Flow'!C$68+Assumptions!$B$62*'13W Cash Flow'!C$64</f>
        <v>0</v>
      </c>
      <c r="D171" s="83" t="n">
        <f aca="false">(Assumptions!$B$60+Assumptions!$B$53)*'13W Cash Flow'!D$66+Assumptions!$B$59*'13W Cash Flow'!D$68+Assumptions!$B$62*'13W Cash Flow'!D$64</f>
        <v>2000</v>
      </c>
      <c r="E171" s="83" t="n">
        <f aca="false">(Assumptions!$B$60+Assumptions!$B$53)*'13W Cash Flow'!E$66+Assumptions!$B$59*'13W Cash Flow'!E$68+Assumptions!$B$62*'13W Cash Flow'!E$64</f>
        <v>1800</v>
      </c>
      <c r="F171" s="83" t="n">
        <f aca="false">(Assumptions!$B$60+Assumptions!$B$53)*'13W Cash Flow'!F$66+Assumptions!$B$59*'13W Cash Flow'!F$68+Assumptions!$B$62*'13W Cash Flow'!F$64</f>
        <v>0</v>
      </c>
      <c r="G171" s="83" t="n">
        <f aca="false">(Assumptions!$B$60+Assumptions!$B$53)*'13W Cash Flow'!G$66+Assumptions!$B$59*'13W Cash Flow'!G$68+Assumptions!$B$62*'13W Cash Flow'!G$64</f>
        <v>1500</v>
      </c>
      <c r="H171" s="83" t="n">
        <f aca="false">(Assumptions!$B$60+Assumptions!$B$53)*'13W Cash Flow'!H$66+Assumptions!$B$59*'13W Cash Flow'!H$68+Assumptions!$B$62*'13W Cash Flow'!H$64</f>
        <v>2000</v>
      </c>
      <c r="I171" s="83" t="n">
        <f aca="false">(Assumptions!$B$60+Assumptions!$B$53)*'13W Cash Flow'!I$66+Assumptions!$B$59*'13W Cash Flow'!I$68+Assumptions!$B$62*'13W Cash Flow'!I$64</f>
        <v>1800</v>
      </c>
      <c r="J171" s="83" t="n">
        <f aca="false">(Assumptions!$B$60+Assumptions!$B$53)*'13W Cash Flow'!J$66+Assumptions!$B$59*'13W Cash Flow'!J$68+Assumptions!$B$62*'13W Cash Flow'!J$64</f>
        <v>0</v>
      </c>
      <c r="K171" s="83" t="n">
        <f aca="false">(Assumptions!$B$60+Assumptions!$B$53)*'13W Cash Flow'!K$66+Assumptions!$B$59*'13W Cash Flow'!K$68+Assumptions!$B$62*'13W Cash Flow'!K$64</f>
        <v>1500</v>
      </c>
      <c r="L171" s="83" t="n">
        <f aca="false">(Assumptions!$B$60+Assumptions!$B$53)*'13W Cash Flow'!L$66+Assumptions!$B$59*'13W Cash Flow'!L$68+Assumptions!$B$62*'13W Cash Flow'!L$64</f>
        <v>2000</v>
      </c>
      <c r="M171" s="83" t="n">
        <f aca="false">(Assumptions!$B$60+Assumptions!$B$53)*'13W Cash Flow'!M$66+Assumptions!$B$59*'13W Cash Flow'!M$68+Assumptions!$B$62*'13W Cash Flow'!M$64</f>
        <v>0</v>
      </c>
      <c r="N171" s="83" t="n">
        <f aca="false">(Assumptions!$B$60+Assumptions!$B$53)*'13W Cash Flow'!N$66+Assumptions!$B$59*'13W Cash Flow'!N$68+Assumptions!$B$62*'13W Cash Flow'!N$64</f>
        <v>1800</v>
      </c>
      <c r="O171" s="83" t="n">
        <f aca="false">(Assumptions!$B$60+Assumptions!$B$53)*'13W Cash Flow'!O$66+Assumptions!$B$59*'13W Cash Flow'!O$68+Assumptions!$B$62*'13W Cash Flow'!O$64</f>
        <v>1500</v>
      </c>
      <c r="P171" s="83" t="n">
        <f aca="false">SUM(C171:O171)</f>
        <v>15900</v>
      </c>
    </row>
    <row r="172" customFormat="false" ht="13.5" hidden="false" customHeight="true" outlineLevel="0" collapsed="false">
      <c r="A172" s="78" t="s">
        <v>538</v>
      </c>
      <c r="B172" s="62" t="s">
        <v>539</v>
      </c>
      <c r="C172" s="83" t="n">
        <f aca="false">IF(C150=Assumptions!$B$88,Assumptions!$B$87,0)+Assumptions!$B$86*'13W Cash Flow'!C$65</f>
        <v>4200</v>
      </c>
      <c r="D172" s="83" t="n">
        <f aca="false">IF(D150=Assumptions!$B$88,Assumptions!$B$87,0)+Assumptions!$B$86*'13W Cash Flow'!D$65</f>
        <v>0</v>
      </c>
      <c r="E172" s="83" t="n">
        <f aca="false">IF(E150=Assumptions!$B$88,Assumptions!$B$87,0)+Assumptions!$B$86*'13W Cash Flow'!E$65</f>
        <v>0</v>
      </c>
      <c r="F172" s="83" t="n">
        <f aca="false">IF(F150=Assumptions!$B$88,Assumptions!$B$87,0)+Assumptions!$B$86*'13W Cash Flow'!F$65</f>
        <v>0</v>
      </c>
      <c r="G172" s="83" t="n">
        <f aca="false">IF(G150=Assumptions!$B$88,Assumptions!$B$87,0)+Assumptions!$B$86*'13W Cash Flow'!G$65</f>
        <v>4200</v>
      </c>
      <c r="H172" s="83" t="n">
        <f aca="false">IF(H150=Assumptions!$B$88,Assumptions!$B$87,0)+Assumptions!$B$86*'13W Cash Flow'!H$65</f>
        <v>0</v>
      </c>
      <c r="I172" s="83" t="n">
        <f aca="false">IF(I150=Assumptions!$B$88,Assumptions!$B$87,0)+Assumptions!$B$86*'13W Cash Flow'!I$65</f>
        <v>0</v>
      </c>
      <c r="J172" s="83" t="n">
        <f aca="false">IF(J150=Assumptions!$B$88,Assumptions!$B$87,0)+Assumptions!$B$86*'13W Cash Flow'!J$65</f>
        <v>0</v>
      </c>
      <c r="K172" s="83" t="n">
        <f aca="false">IF(K150=Assumptions!$B$88,Assumptions!$B$87,0)+Assumptions!$B$86*'13W Cash Flow'!K$65</f>
        <v>26500</v>
      </c>
      <c r="L172" s="83" t="n">
        <f aca="false">IF(L150=Assumptions!$B$88,Assumptions!$B$87,0)+Assumptions!$B$86*'13W Cash Flow'!L$65</f>
        <v>4200</v>
      </c>
      <c r="M172" s="83" t="n">
        <f aca="false">IF(M150=Assumptions!$B$88,Assumptions!$B$87,0)+Assumptions!$B$86*'13W Cash Flow'!M$65</f>
        <v>0</v>
      </c>
      <c r="N172" s="83" t="n">
        <f aca="false">IF(N150=Assumptions!$B$88,Assumptions!$B$87,0)+Assumptions!$B$86*'13W Cash Flow'!N$65</f>
        <v>0</v>
      </c>
      <c r="O172" s="83" t="n">
        <f aca="false">IF(O150=Assumptions!$B$88,Assumptions!$B$87,0)+Assumptions!$B$86*'13W Cash Flow'!O$65</f>
        <v>0</v>
      </c>
      <c r="P172" s="83" t="n">
        <f aca="false">SUM(C172:O172)</f>
        <v>39100</v>
      </c>
    </row>
    <row r="173" customFormat="false" ht="13.5" hidden="false" customHeight="true" outlineLevel="0" collapsed="false">
      <c r="A173" s="78" t="s">
        <v>466</v>
      </c>
      <c r="B173" s="62" t="s">
        <v>540</v>
      </c>
      <c r="C173" s="83" t="n">
        <f aca="false">IF(C150=$E$16,$E$14*$E$15,0)+IF(C150=$E$17,$E$14*(1-$E$15),0)</f>
        <v>0</v>
      </c>
      <c r="D173" s="83" t="n">
        <f aca="false">IF(D150=$E$16,$E$14*$E$15,0)+IF(D150=$E$17,$E$14*(1-$E$15),0)</f>
        <v>0</v>
      </c>
      <c r="E173" s="83" t="n">
        <f aca="false">IF(E150=$E$16,$E$14*$E$15,0)+IF(E150=$E$17,$E$14*(1-$E$15),0)</f>
        <v>0</v>
      </c>
      <c r="F173" s="83" t="n">
        <f aca="false">IF(F150=$E$16,$E$14*$E$15,0)+IF(F150=$E$17,$E$14*(1-$E$15),0)</f>
        <v>0</v>
      </c>
      <c r="G173" s="83" t="n">
        <f aca="false">IF(G150=$E$16,$E$14*$E$15,0)+IF(G150=$E$17,$E$14*(1-$E$15),0)</f>
        <v>48000</v>
      </c>
      <c r="H173" s="83" t="n">
        <f aca="false">IF(H150=$E$16,$E$14*$E$15,0)+IF(H150=$E$17,$E$14*(1-$E$15),0)</f>
        <v>0</v>
      </c>
      <c r="I173" s="83" t="n">
        <f aca="false">IF(I150=$E$16,$E$14*$E$15,0)+IF(I150=$E$17,$E$14*(1-$E$15),0)</f>
        <v>48000</v>
      </c>
      <c r="J173" s="83" t="n">
        <f aca="false">IF(J150=$E$16,$E$14*$E$15,0)+IF(J150=$E$17,$E$14*(1-$E$15),0)</f>
        <v>0</v>
      </c>
      <c r="K173" s="83" t="n">
        <f aca="false">IF(K150=$E$16,$E$14*$E$15,0)+IF(K150=$E$17,$E$14*(1-$E$15),0)</f>
        <v>0</v>
      </c>
      <c r="L173" s="83" t="n">
        <f aca="false">IF(L150=$E$16,$E$14*$E$15,0)+IF(L150=$E$17,$E$14*(1-$E$15),0)</f>
        <v>0</v>
      </c>
      <c r="M173" s="83" t="n">
        <f aca="false">IF(M150=$E$16,$E$14*$E$15,0)+IF(M150=$E$17,$E$14*(1-$E$15),0)</f>
        <v>0</v>
      </c>
      <c r="N173" s="83" t="n">
        <f aca="false">IF(N150=$E$16,$E$14*$E$15,0)+IF(N150=$E$17,$E$14*(1-$E$15),0)</f>
        <v>0</v>
      </c>
      <c r="O173" s="83" t="n">
        <f aca="false">IF(O150=$E$16,$E$14*$E$15,0)+IF(O150=$E$17,$E$14*(1-$E$15),0)</f>
        <v>0</v>
      </c>
      <c r="P173" s="83" t="n">
        <f aca="false">SUM(C173:O173)</f>
        <v>96000</v>
      </c>
    </row>
    <row r="174" customFormat="false" ht="13.5" hidden="false" customHeight="true" outlineLevel="0" collapsed="false">
      <c r="A174" s="81" t="s">
        <v>292</v>
      </c>
      <c r="B174" s="23"/>
      <c r="C174" s="145" t="n">
        <f aca="false">SUM(C164:C173)</f>
        <v>20757.05844</v>
      </c>
      <c r="D174" s="145" t="n">
        <f aca="false">SUM(D164:D173)</f>
        <v>91185.492576</v>
      </c>
      <c r="E174" s="145" t="n">
        <f aca="false">SUM(E164:E173)</f>
        <v>18070.649124</v>
      </c>
      <c r="F174" s="145" t="n">
        <f aca="false">SUM(F164:F173)</f>
        <v>16041.40948</v>
      </c>
      <c r="G174" s="145" t="n">
        <f aca="false">SUM(G164:G173)</f>
        <v>137652.199419</v>
      </c>
      <c r="H174" s="145" t="n">
        <f aca="false">SUM(H164:H173)</f>
        <v>18631.640811</v>
      </c>
      <c r="I174" s="145" t="n">
        <f aca="false">SUM(I164:I173)</f>
        <v>69008.0373</v>
      </c>
      <c r="J174" s="145" t="n">
        <f aca="false">SUM(J164:J173)</f>
        <v>94615.508966</v>
      </c>
      <c r="K174" s="145" t="n">
        <f aca="false">SUM(K164:K173)</f>
        <v>66622.828594</v>
      </c>
      <c r="L174" s="145" t="n">
        <f aca="false">SUM(L164:L173)</f>
        <v>23536.936889</v>
      </c>
      <c r="M174" s="145" t="n">
        <f aca="false">SUM(M164:M173)</f>
        <v>78212.941118</v>
      </c>
      <c r="N174" s="145" t="n">
        <f aca="false">SUM(N164:N173)</f>
        <v>15446.65973</v>
      </c>
      <c r="O174" s="145" t="n">
        <f aca="false">SUM(O164:O173)</f>
        <v>51254.920262</v>
      </c>
      <c r="P174" s="145" t="n">
        <f aca="false">SUM(C174:O174)</f>
        <v>701036.282709</v>
      </c>
    </row>
    <row r="175" customFormat="false" ht="13.5" hidden="false" customHeight="true" outlineLevel="0" collapsed="false">
      <c r="A175" s="81" t="s">
        <v>506</v>
      </c>
      <c r="B175" s="23"/>
      <c r="C175" s="146" t="n">
        <f aca="false">C163-C174</f>
        <v>23951.82956</v>
      </c>
      <c r="D175" s="146" t="n">
        <f aca="false">D163-D174</f>
        <v>-19621.105376</v>
      </c>
      <c r="E175" s="146" t="n">
        <f aca="false">E163-E174</f>
        <v>26212.700476</v>
      </c>
      <c r="F175" s="146" t="n">
        <f aca="false">F163-F174</f>
        <v>27172.26172</v>
      </c>
      <c r="G175" s="146" t="n">
        <f aca="false">G163-G174</f>
        <v>-106016.975169</v>
      </c>
      <c r="H175" s="146" t="n">
        <f aca="false">H163-H174</f>
        <v>55356.301189</v>
      </c>
      <c r="I175" s="146" t="n">
        <f aca="false">I163-I174</f>
        <v>-18057.03455</v>
      </c>
      <c r="J175" s="146" t="n">
        <f aca="false">J163-J174</f>
        <v>-61809.690466</v>
      </c>
      <c r="K175" s="146" t="n">
        <f aca="false">K163-K174</f>
        <v>-33918.625594</v>
      </c>
      <c r="L175" s="146" t="n">
        <f aca="false">L163-L174</f>
        <v>10023.679361</v>
      </c>
      <c r="M175" s="146" t="n">
        <f aca="false">M163-M174</f>
        <v>-10962.938368</v>
      </c>
      <c r="N175" s="146" t="n">
        <f aca="false">N163-N174</f>
        <v>20129.09727</v>
      </c>
      <c r="O175" s="146" t="n">
        <f aca="false">O163-O174</f>
        <v>11023.076738</v>
      </c>
      <c r="P175" s="146" t="n">
        <f aca="false">SUM(C175:O175)</f>
        <v>-76517.423209</v>
      </c>
    </row>
    <row r="176" customFormat="false" ht="13.5" hidden="false" customHeight="true" outlineLevel="0" collapsed="false">
      <c r="A176" s="78" t="s">
        <v>507</v>
      </c>
      <c r="B176" s="62" t="s">
        <v>251</v>
      </c>
      <c r="C176" s="83" t="n">
        <f aca="false">Assumptions!$B$12</f>
        <v>205000</v>
      </c>
      <c r="D176" s="83" t="n">
        <f aca="false">C177</f>
        <v>228951.82956</v>
      </c>
      <c r="E176" s="83" t="n">
        <f aca="false">D177</f>
        <v>209330.724184</v>
      </c>
      <c r="F176" s="83" t="n">
        <f aca="false">E177</f>
        <v>235543.42466</v>
      </c>
      <c r="G176" s="83" t="n">
        <f aca="false">F177</f>
        <v>262715.68638</v>
      </c>
      <c r="H176" s="83" t="n">
        <f aca="false">G177</f>
        <v>156698.711211</v>
      </c>
      <c r="I176" s="83" t="n">
        <f aca="false">H177</f>
        <v>212055.0124</v>
      </c>
      <c r="J176" s="83" t="n">
        <f aca="false">I177</f>
        <v>193997.97785</v>
      </c>
      <c r="K176" s="83" t="n">
        <f aca="false">J177</f>
        <v>132188.287384</v>
      </c>
      <c r="L176" s="83" t="n">
        <f aca="false">K177</f>
        <v>98269.66179</v>
      </c>
      <c r="M176" s="83" t="n">
        <f aca="false">L177</f>
        <v>108293.341151</v>
      </c>
      <c r="N176" s="83" t="n">
        <f aca="false">M177</f>
        <v>97330.402783</v>
      </c>
      <c r="O176" s="83" t="n">
        <f aca="false">N177</f>
        <v>117459.500053</v>
      </c>
      <c r="P176" s="3"/>
    </row>
    <row r="177" customFormat="false" ht="13.5" hidden="false" customHeight="true" outlineLevel="0" collapsed="false">
      <c r="A177" s="81" t="s">
        <v>295</v>
      </c>
      <c r="B177" s="23"/>
      <c r="C177" s="147" t="n">
        <f aca="false">C176+C175</f>
        <v>228951.82956</v>
      </c>
      <c r="D177" s="147" t="n">
        <f aca="false">D176+D175</f>
        <v>209330.724184</v>
      </c>
      <c r="E177" s="147" t="n">
        <f aca="false">E176+E175</f>
        <v>235543.42466</v>
      </c>
      <c r="F177" s="147" t="n">
        <f aca="false">F176+F175</f>
        <v>262715.68638</v>
      </c>
      <c r="G177" s="147" t="n">
        <f aca="false">G176+G175</f>
        <v>156698.711211</v>
      </c>
      <c r="H177" s="147" t="n">
        <f aca="false">H176+H175</f>
        <v>212055.0124</v>
      </c>
      <c r="I177" s="147" t="n">
        <f aca="false">I176+I175</f>
        <v>193997.97785</v>
      </c>
      <c r="J177" s="147" t="n">
        <f aca="false">J176+J175</f>
        <v>132188.287384</v>
      </c>
      <c r="K177" s="147" t="n">
        <f aca="false">K176+K175</f>
        <v>98269.66179</v>
      </c>
      <c r="L177" s="147" t="n">
        <f aca="false">L176+L175</f>
        <v>108293.341151</v>
      </c>
      <c r="M177" s="147" t="n">
        <f aca="false">M176+M175</f>
        <v>97330.402783</v>
      </c>
      <c r="N177" s="147" t="n">
        <f aca="false">N176+N175</f>
        <v>117459.500053</v>
      </c>
      <c r="O177" s="147" t="n">
        <f aca="false">O176+O175</f>
        <v>128482.576791</v>
      </c>
      <c r="P177" s="3"/>
    </row>
    <row r="178" customFormat="false" ht="13.5" hidden="false" customHeight="true" outlineLevel="0" collapsed="false">
      <c r="A178" s="78" t="s">
        <v>541</v>
      </c>
      <c r="B178" s="23"/>
      <c r="C178" s="83" t="n">
        <f aca="false">C177-Assumptions!$B$13</f>
        <v>108951.82956</v>
      </c>
      <c r="D178" s="83" t="n">
        <f aca="false">D177-Assumptions!$B$13</f>
        <v>89330.724184</v>
      </c>
      <c r="E178" s="83" t="n">
        <f aca="false">E177-Assumptions!$B$13</f>
        <v>115543.42466</v>
      </c>
      <c r="F178" s="83" t="n">
        <f aca="false">F177-Assumptions!$B$13</f>
        <v>142715.68638</v>
      </c>
      <c r="G178" s="83" t="n">
        <f aca="false">G177-Assumptions!$B$13</f>
        <v>36698.711211</v>
      </c>
      <c r="H178" s="83" t="n">
        <f aca="false">H177-Assumptions!$B$13</f>
        <v>92055.0124</v>
      </c>
      <c r="I178" s="83" t="n">
        <f aca="false">I177-Assumptions!$B$13</f>
        <v>73997.97785</v>
      </c>
      <c r="J178" s="83" t="n">
        <f aca="false">J177-Assumptions!$B$13</f>
        <v>12188.287384</v>
      </c>
      <c r="K178" s="83" t="n">
        <f aca="false">K177-Assumptions!$B$13</f>
        <v>-21730.33821</v>
      </c>
      <c r="L178" s="83" t="n">
        <f aca="false">L177-Assumptions!$B$13</f>
        <v>-11706.658849</v>
      </c>
      <c r="M178" s="83" t="n">
        <f aca="false">M177-Assumptions!$B$13</f>
        <v>-22669.597217</v>
      </c>
      <c r="N178" s="83" t="n">
        <f aca="false">N177-Assumptions!$B$13</f>
        <v>-2540.49994700002</v>
      </c>
      <c r="O178" s="83" t="n">
        <f aca="false">O177-Assumptions!$B$13</f>
        <v>8482.57679099999</v>
      </c>
      <c r="P178" s="3"/>
    </row>
  </sheetData>
  <mergeCells count="2">
    <mergeCell ref="A3:P3"/>
    <mergeCell ref="A79:O79"/>
  </mergeCells>
  <conditionalFormatting sqref="C49:E49">
    <cfRule type="expression" priority="2" aboveAverage="0" equalAverage="0" bottom="0" percent="0" rank="0" text="" dxfId="10">
      <formula>C$49=MAX($C$49:$E$49)</formula>
    </cfRule>
  </conditionalFormatting>
  <conditionalFormatting sqref="C62:E62">
    <cfRule type="expression" priority="3" aboveAverage="0" equalAverage="0" bottom="0" percent="0" rank="0" text="" dxfId="10">
      <formula>C$62=MAX($C$62:$E$62)</formula>
    </cfRule>
  </conditionalFormatting>
  <conditionalFormatting sqref="C65:E65">
    <cfRule type="cellIs" priority="4" operator="lessThan" aboveAverage="0" equalAverage="0" bottom="0" percent="0" rank="0" text="" dxfId="5">
      <formula>0</formula>
    </cfRule>
  </conditionalFormatting>
  <conditionalFormatting sqref="C66:E66">
    <cfRule type="cellIs" priority="5" operator="greaterThan" aboveAverage="0" equalAverage="0" bottom="0" percent="0" rank="0" text="" dxfId="11">
      <formula>0</formula>
    </cfRule>
  </conditionalFormatting>
  <conditionalFormatting sqref="C53:E53">
    <cfRule type="cellIs" priority="6" operator="lessThan" aboveAverage="0" equalAverage="0" bottom="0" percent="0" rank="0" text="" dxfId="6">
      <formula>0</formula>
    </cfRule>
  </conditionalFormatting>
  <hyperlinks>
    <hyperlink ref="P2" location="'Dashboard'!A1" display="Back to Dashboard"/>
  </hyperlinks>
  <printOptions headings="false" gridLines="false" gridLinesSet="true" horizontalCentered="false" verticalCentered="false"/>
  <pageMargins left="0.35" right="0.35" top="0.45" bottom="0.45" header="0.511811023622047" footer="0.25"/>
  <pageSetup paperSize="9" scale="100" fitToWidth="1" fitToHeight="1"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C8A"/>
    <pageSetUpPr fitToPage="true"/>
  </sheetPr>
  <dimension ref="A1:O130"/>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1" style="1" width="12.7"/>
    <col collapsed="false" customWidth="true" hidden="false" outlineLevel="0" max="4" min="4" style="1" width="1.8"/>
    <col collapsed="false" customWidth="true" hidden="false" outlineLevel="0" max="7" min="5" style="1" width="12.7"/>
    <col collapsed="false" customWidth="true" hidden="false" outlineLevel="0" max="8" min="8" style="1" width="1.8"/>
    <col collapsed="false" customWidth="true" hidden="false" outlineLevel="0" max="11" min="9" style="1" width="12.7"/>
    <col collapsed="false" customWidth="true" hidden="false" outlineLevel="0" max="12" min="12" style="1" width="1.8"/>
    <col collapsed="false" customWidth="true" hidden="false" outlineLevel="0" max="15" min="13" style="1" width="12.7"/>
  </cols>
  <sheetData>
    <row r="1" customFormat="false" ht="22.5" hidden="false" customHeight="true" outlineLevel="0" collapsed="false">
      <c r="A1" s="2" t="s">
        <v>0</v>
      </c>
      <c r="B1" s="3"/>
      <c r="C1" s="3"/>
      <c r="D1" s="3"/>
      <c r="E1" s="3"/>
      <c r="F1" s="3"/>
      <c r="G1" s="3"/>
      <c r="H1" s="3"/>
      <c r="I1" s="3"/>
      <c r="J1" s="3"/>
      <c r="K1" s="3"/>
      <c r="L1" s="3"/>
      <c r="M1" s="3"/>
      <c r="N1" s="3"/>
      <c r="O1" s="4" t="s">
        <v>1</v>
      </c>
    </row>
    <row r="2" customFormat="false" ht="16.5" hidden="false" customHeight="true" outlineLevel="0" collapsed="false">
      <c r="A2" s="5" t="s">
        <v>544</v>
      </c>
      <c r="B2" s="6"/>
      <c r="C2" s="6"/>
      <c r="D2" s="6"/>
      <c r="E2" s="6"/>
      <c r="F2" s="6"/>
      <c r="G2" s="6"/>
      <c r="H2" s="6"/>
      <c r="I2" s="6"/>
      <c r="J2" s="6"/>
      <c r="K2" s="6"/>
      <c r="L2" s="6"/>
      <c r="M2" s="6"/>
      <c r="N2" s="6"/>
      <c r="O2" s="6"/>
    </row>
    <row r="3" customFormat="false" ht="6" hidden="false" customHeight="true" outlineLevel="0" collapsed="false">
      <c r="A3" s="9"/>
      <c r="B3" s="9"/>
      <c r="C3" s="9"/>
      <c r="D3" s="9"/>
      <c r="E3" s="9"/>
      <c r="F3" s="9"/>
      <c r="G3" s="9"/>
      <c r="H3" s="9"/>
      <c r="I3" s="9"/>
      <c r="J3" s="9"/>
      <c r="K3" s="9"/>
      <c r="L3" s="9"/>
      <c r="M3" s="9"/>
      <c r="N3" s="9"/>
      <c r="O3" s="9"/>
    </row>
    <row r="4" customFormat="false" ht="18.75" hidden="false" customHeight="true" outlineLevel="0" collapsed="false">
      <c r="A4" s="14" t="s">
        <v>545</v>
      </c>
      <c r="B4" s="14"/>
      <c r="C4" s="14"/>
      <c r="D4" s="14"/>
      <c r="E4" s="14"/>
      <c r="F4" s="14"/>
      <c r="G4" s="14"/>
      <c r="H4" s="14"/>
      <c r="I4" s="14"/>
      <c r="J4" s="14"/>
      <c r="K4" s="14"/>
      <c r="L4" s="14"/>
      <c r="M4" s="14"/>
      <c r="N4" s="14"/>
      <c r="O4" s="14"/>
    </row>
    <row r="5" customFormat="false" ht="13.5" hidden="false" customHeight="true" outlineLevel="0" collapsed="false">
      <c r="A5" s="106" t="s">
        <v>546</v>
      </c>
      <c r="B5" s="148"/>
      <c r="C5" s="149"/>
      <c r="D5" s="9"/>
      <c r="E5" s="106" t="s">
        <v>547</v>
      </c>
      <c r="F5" s="148"/>
      <c r="G5" s="149"/>
      <c r="H5" s="9"/>
      <c r="I5" s="106" t="s">
        <v>548</v>
      </c>
      <c r="J5" s="148"/>
      <c r="K5" s="149"/>
      <c r="L5" s="9"/>
      <c r="M5" s="106" t="s">
        <v>549</v>
      </c>
      <c r="N5" s="148"/>
      <c r="O5" s="149"/>
    </row>
    <row r="6" customFormat="false" ht="24.75" hidden="false" customHeight="true" outlineLevel="0" collapsed="false">
      <c r="A6" s="150" t="n">
        <f aca="false">'13W Cash Flow'!$C$44</f>
        <v>205000</v>
      </c>
      <c r="B6" s="150"/>
      <c r="C6" s="150"/>
      <c r="D6" s="9"/>
      <c r="E6" s="150" t="n">
        <f aca="false">'13W Cash Flow'!$C$45</f>
        <v>139650.216524</v>
      </c>
      <c r="F6" s="150"/>
      <c r="G6" s="150"/>
      <c r="H6" s="9"/>
      <c r="I6" s="150" t="n">
        <f aca="false">'13W Cash Flow'!$C$50</f>
        <v>114528.4346</v>
      </c>
      <c r="J6" s="150"/>
      <c r="K6" s="150"/>
      <c r="L6" s="9"/>
      <c r="M6" s="151" t="n">
        <f aca="false">'13W Cash Flow'!$C$55</f>
        <v>27.7805482780021</v>
      </c>
      <c r="N6" s="151"/>
      <c r="O6" s="151"/>
    </row>
    <row r="7" customFormat="false" ht="13.5" hidden="false" customHeight="true" outlineLevel="0" collapsed="false">
      <c r="A7" s="109" t="s">
        <v>550</v>
      </c>
      <c r="B7" s="152"/>
      <c r="C7" s="153"/>
      <c r="D7" s="9"/>
      <c r="E7" s="109" t="str">
        <f aca="false">"Net movement "&amp;TEXT('13W Cash Flow'!$C$46,"""S$""#,##0;(""S$""#,##0)")&amp;" over the quarter"</f>
        <v>Net movement (S$65,350) over the quarter</v>
      </c>
      <c r="F7" s="152"/>
      <c r="G7" s="153"/>
      <c r="H7" s="9"/>
      <c r="I7" s="109" t="str">
        <f aca="false">"Week "&amp;'13W Cash Flow'!$C$51&amp;"  ·  minimum buffer "&amp;TEXT('13W Cash Flow'!$C$40,"""S$""#,##0")</f>
        <v>Week 9  ·  minimum buffer S$120,000</v>
      </c>
      <c r="J7" s="152"/>
      <c r="K7" s="153"/>
      <c r="L7" s="9"/>
      <c r="M7" s="109" t="s">
        <v>551</v>
      </c>
      <c r="N7" s="152"/>
      <c r="O7" s="153"/>
    </row>
    <row r="8" customFormat="false" ht="6" hidden="false" customHeight="true" outlineLevel="0" collapsed="false">
      <c r="A8" s="9"/>
      <c r="B8" s="9"/>
      <c r="C8" s="9"/>
      <c r="D8" s="9"/>
      <c r="E8" s="9"/>
      <c r="F8" s="9"/>
      <c r="G8" s="9"/>
      <c r="H8" s="9"/>
      <c r="I8" s="9"/>
      <c r="J8" s="9"/>
      <c r="K8" s="9"/>
      <c r="L8" s="9"/>
      <c r="M8" s="9"/>
      <c r="N8" s="9"/>
      <c r="O8" s="9"/>
    </row>
    <row r="9" customFormat="false" ht="18.75" hidden="false" customHeight="true" outlineLevel="0" collapsed="false">
      <c r="A9" s="14" t="s">
        <v>552</v>
      </c>
      <c r="B9" s="14"/>
      <c r="C9" s="14"/>
      <c r="D9" s="14"/>
      <c r="E9" s="14"/>
      <c r="F9" s="14"/>
      <c r="G9" s="14"/>
      <c r="H9" s="14"/>
      <c r="I9" s="14"/>
      <c r="J9" s="14"/>
      <c r="K9" s="14"/>
      <c r="L9" s="14"/>
      <c r="M9" s="14"/>
      <c r="N9" s="14"/>
      <c r="O9" s="14"/>
    </row>
    <row r="10" customFormat="false" ht="13.5" hidden="false" customHeight="true" outlineLevel="0" collapsed="false">
      <c r="A10" s="106" t="s">
        <v>553</v>
      </c>
      <c r="B10" s="148"/>
      <c r="C10" s="149"/>
      <c r="D10" s="9"/>
      <c r="E10" s="106" t="s">
        <v>554</v>
      </c>
      <c r="F10" s="148"/>
      <c r="G10" s="149"/>
      <c r="H10" s="9"/>
      <c r="I10" s="106" t="s">
        <v>397</v>
      </c>
      <c r="J10" s="148"/>
      <c r="K10" s="149"/>
      <c r="L10" s="9"/>
      <c r="M10" s="106" t="s">
        <v>555</v>
      </c>
      <c r="N10" s="148"/>
      <c r="O10" s="149"/>
    </row>
    <row r="11" customFormat="false" ht="24.75" hidden="false" customHeight="true" outlineLevel="0" collapsed="false">
      <c r="A11" s="150" t="n">
        <f aca="false">'13W Cash Flow'!$P$76</f>
        <v>747630.46</v>
      </c>
      <c r="B11" s="150"/>
      <c r="C11" s="150"/>
      <c r="D11" s="9"/>
      <c r="E11" s="154" t="n">
        <f aca="false">'Channel Profitability'!$G$10</f>
        <v>0.597862435707436</v>
      </c>
      <c r="F11" s="154"/>
      <c r="G11" s="154"/>
      <c r="H11" s="9"/>
      <c r="I11" s="150" t="n">
        <f aca="false">'Store Break-Even'!$C$27</f>
        <v>-1104.72</v>
      </c>
      <c r="J11" s="150"/>
      <c r="K11" s="150"/>
      <c r="L11" s="9"/>
      <c r="M11" s="150" t="n">
        <f aca="false">'Store Break-Even'!$C$34</f>
        <v>-2108.24427480916</v>
      </c>
      <c r="N11" s="150"/>
      <c r="O11" s="150"/>
    </row>
    <row r="12" customFormat="false" ht="13.5" hidden="false" customHeight="true" outlineLevel="0" collapsed="false">
      <c r="A12" s="109" t="s">
        <v>556</v>
      </c>
      <c r="B12" s="152"/>
      <c r="C12" s="153"/>
      <c r="D12" s="9"/>
      <c r="E12" s="109" t="s">
        <v>557</v>
      </c>
      <c r="F12" s="152"/>
      <c r="G12" s="153"/>
      <c r="H12" s="9"/>
      <c r="I12" s="109" t="s">
        <v>400</v>
      </c>
      <c r="J12" s="152"/>
      <c r="K12" s="153"/>
      <c r="L12" s="9"/>
      <c r="M12" s="109" t="str">
        <f aca="false">"Break-even "&amp;TEXT('Store Break-Even'!$C$31,"""S$""#,##0")&amp;" per month"</f>
        <v>Break-even S$84,828 per month</v>
      </c>
      <c r="N12" s="152"/>
      <c r="O12" s="153"/>
    </row>
    <row r="13" customFormat="false" ht="6" hidden="false" customHeight="true" outlineLevel="0" collapsed="false">
      <c r="A13" s="9"/>
      <c r="B13" s="9"/>
      <c r="C13" s="9"/>
      <c r="D13" s="9"/>
      <c r="E13" s="9"/>
      <c r="F13" s="9"/>
      <c r="G13" s="9"/>
      <c r="H13" s="9"/>
      <c r="I13" s="9"/>
      <c r="J13" s="9"/>
      <c r="K13" s="9"/>
      <c r="L13" s="9"/>
      <c r="M13" s="9"/>
      <c r="N13" s="9"/>
      <c r="O13" s="9"/>
    </row>
    <row r="14" customFormat="false" ht="18.75" hidden="false" customHeight="true" outlineLevel="0" collapsed="false">
      <c r="A14" s="14" t="s">
        <v>558</v>
      </c>
      <c r="B14" s="14"/>
      <c r="C14" s="14"/>
      <c r="D14" s="14"/>
      <c r="E14" s="14"/>
      <c r="F14" s="14"/>
      <c r="G14" s="14"/>
      <c r="H14" s="14"/>
      <c r="I14" s="14"/>
      <c r="J14" s="14"/>
      <c r="K14" s="14"/>
      <c r="L14" s="14"/>
      <c r="M14" s="14"/>
      <c r="N14" s="14"/>
      <c r="O14" s="14"/>
    </row>
    <row r="15" customFormat="false" ht="24" hidden="false" customHeight="true" outlineLevel="0" collapsed="false">
      <c r="A15" s="155" t="str">
        <f aca="false">"Cash bottoms out at "&amp;TEXT('13W Cash Flow'!$C$50,"""S$""#,##0")&amp;" in Week "&amp;'13W Cash Flow'!$C$51&amp;IF('13W Cash Flow'!$C$53&lt;0,", which is "&amp;TEXT(-'13W Cash Flow'!$C$53,"""S$""#,##0")&amp;" below the minimum buffer in "&amp;'13W Cash Flow'!$C$54&amp;" week(s)",", leaving "&amp;TEXT('13W Cash Flow'!$C$53,"""S$""#,##0")&amp;" of headroom")&amp;", before recovering to "&amp;TEXT('13W Cash Flow'!$C$45,"""S$""#,##0")&amp;" by Week 13."</f>
        <v>Cash bottoms out at S$114,528 in Week 9, which is S$5,472 below the minimum buffer in 1 week(s), before recovering to S$139,650 by Week 13.</v>
      </c>
      <c r="B15" s="155"/>
      <c r="C15" s="155"/>
      <c r="D15" s="155"/>
      <c r="E15" s="155"/>
      <c r="F15" s="155"/>
      <c r="G15" s="155"/>
      <c r="H15" s="155"/>
      <c r="I15" s="155"/>
      <c r="J15" s="155"/>
      <c r="K15" s="155"/>
      <c r="L15" s="155"/>
      <c r="M15" s="155"/>
      <c r="N15" s="155"/>
      <c r="O15" s="155"/>
    </row>
    <row r="16" customFormat="false" ht="24" hidden="false" customHeight="true" outlineLevel="0" collapsed="false">
      <c r="A16" s="155" t="str">
        <f aca="false">"Inventory and supplier payments take "&amp;TEXT('13W Cash Flow'!$P$20/'13W Cash Flow'!$P$35,"0.0%")&amp;" of 13-week outflows "&amp;"("&amp;TEXT('13W Cash Flow'!$P$20,"""S$""#,##0")&amp;") - the AW26 buy, not trading, is what drains the cash."</f>
        <v>Inventory and supplier payments take 52.5% of 13-week outflows (S$409,023) - the AW26 buy, not trading, is what drains the cash.</v>
      </c>
      <c r="B16" s="155"/>
      <c r="C16" s="155"/>
      <c r="D16" s="155"/>
      <c r="E16" s="155"/>
      <c r="F16" s="155"/>
      <c r="G16" s="155"/>
      <c r="H16" s="155"/>
      <c r="I16" s="155"/>
      <c r="J16" s="155"/>
      <c r="K16" s="155"/>
      <c r="L16" s="155"/>
      <c r="M16" s="155"/>
      <c r="N16" s="155"/>
      <c r="O16" s="155"/>
    </row>
    <row r="17" customFormat="false" ht="24" hidden="false" customHeight="true" outlineLevel="0" collapsed="false">
      <c r="A17" s="155" t="str">
        <f aca="false">"The flagship store trades "&amp;TEXT(ABS('Store Break-Even'!$C$35),"0.0%")&amp;IF('Store Break-Even'!$C$35&lt;0," below"," above")&amp;" break-even, but earns the highest contribution margin of any channel at "&amp;TEXT('Channel Profitability'!$C$22,"0.0%")&amp;"; e-commerce delivers the largest direct channel profit at "&amp;TEXT('Channel Profitability'!$D$33/6,"""S$""#,##0")&amp;" per month."</f>
        <v>The flagship store trades 2.5% below break-even, but earns the highest contribution margin of any channel at 52.4%; e-commerce delivers the largest direct channel profit at S$28,478 per month.</v>
      </c>
      <c r="B17" s="155"/>
      <c r="C17" s="155"/>
      <c r="D17" s="155"/>
      <c r="E17" s="155"/>
      <c r="F17" s="155"/>
      <c r="G17" s="155"/>
      <c r="H17" s="155"/>
      <c r="I17" s="155"/>
      <c r="J17" s="155"/>
      <c r="K17" s="155"/>
      <c r="L17" s="155"/>
      <c r="M17" s="155"/>
      <c r="N17" s="155"/>
      <c r="O17" s="155"/>
    </row>
    <row r="18" customFormat="false" ht="24" hidden="false" customHeight="true" outlineLevel="0" collapsed="false">
      <c r="A18" s="155" t="str">
        <f aca="false">"Store improvement ends Week 13 with "&amp;TEXT(Scenarios!$D$62,"""S$""#,##0")&amp;" of cash against "&amp;TEXT(Scenarios!$C$62,"""S$""#,##0")&amp;" as-is and "&amp;TEXT(Scenarios!$E$62,"""S$""#,##0")&amp;" on exit; closure needs "&amp;TEXT(Scenarios!$E$71,"0.0%")&amp;" of store demand to migrate online just to beat standing still."</f>
        <v>Store improvement ends Week 13 with S$163,302 of cash against S$139,650 as-is and S$128,483 on exit; closure needs 3.6% of store demand to migrate online just to beat standing still.</v>
      </c>
      <c r="B18" s="155"/>
      <c r="C18" s="155"/>
      <c r="D18" s="155"/>
      <c r="E18" s="155"/>
      <c r="F18" s="155"/>
      <c r="G18" s="155"/>
      <c r="H18" s="155"/>
      <c r="I18" s="155"/>
      <c r="J18" s="155"/>
      <c r="K18" s="155"/>
      <c r="L18" s="155"/>
      <c r="M18" s="155"/>
      <c r="N18" s="155"/>
      <c r="O18" s="155"/>
    </row>
    <row r="19" customFormat="false" ht="7.5" hidden="false" customHeight="true" outlineLevel="0" collapsed="false">
      <c r="A19" s="9"/>
      <c r="B19" s="9"/>
      <c r="C19" s="9"/>
      <c r="D19" s="9"/>
      <c r="E19" s="9"/>
      <c r="F19" s="9"/>
      <c r="G19" s="9"/>
      <c r="H19" s="9"/>
      <c r="I19" s="9"/>
      <c r="J19" s="9"/>
      <c r="K19" s="9"/>
      <c r="L19" s="9"/>
      <c r="M19" s="9"/>
      <c r="N19" s="9"/>
      <c r="O19" s="9"/>
    </row>
    <row r="20" customFormat="false" ht="15" hidden="false" customHeight="true" outlineLevel="0" collapsed="false">
      <c r="A20" s="9"/>
      <c r="B20" s="9"/>
      <c r="C20" s="9"/>
      <c r="D20" s="9"/>
      <c r="E20" s="9"/>
      <c r="F20" s="9"/>
      <c r="G20" s="9"/>
      <c r="H20" s="9"/>
      <c r="I20" s="9"/>
      <c r="J20" s="9"/>
      <c r="K20" s="9"/>
      <c r="L20" s="9"/>
      <c r="M20" s="9"/>
      <c r="N20" s="9"/>
      <c r="O20" s="9"/>
    </row>
    <row r="21" customFormat="false" ht="15" hidden="false" customHeight="true" outlineLevel="0" collapsed="false">
      <c r="A21" s="9"/>
      <c r="B21" s="9"/>
      <c r="C21" s="9"/>
      <c r="D21" s="9"/>
      <c r="E21" s="9"/>
      <c r="F21" s="9"/>
      <c r="G21" s="9"/>
      <c r="H21" s="9"/>
      <c r="I21" s="9"/>
      <c r="J21" s="9"/>
      <c r="K21" s="9"/>
      <c r="L21" s="9"/>
      <c r="M21" s="9"/>
      <c r="N21" s="9"/>
      <c r="O21" s="9"/>
    </row>
    <row r="22" customFormat="false" ht="15" hidden="false" customHeight="true" outlineLevel="0" collapsed="false">
      <c r="A22" s="9"/>
      <c r="B22" s="9"/>
      <c r="C22" s="9"/>
      <c r="D22" s="9"/>
      <c r="E22" s="9"/>
      <c r="F22" s="9"/>
      <c r="G22" s="9"/>
      <c r="H22" s="9"/>
      <c r="I22" s="9"/>
      <c r="J22" s="9"/>
      <c r="K22" s="9"/>
      <c r="L22" s="9"/>
      <c r="M22" s="9"/>
      <c r="N22" s="9"/>
      <c r="O22" s="9"/>
    </row>
    <row r="23" customFormat="false" ht="15" hidden="false" customHeight="true" outlineLevel="0" collapsed="false">
      <c r="A23" s="9"/>
      <c r="B23" s="9"/>
      <c r="C23" s="9"/>
      <c r="D23" s="9"/>
      <c r="E23" s="9"/>
      <c r="F23" s="9"/>
      <c r="G23" s="9"/>
      <c r="H23" s="9"/>
      <c r="I23" s="9"/>
      <c r="J23" s="9"/>
      <c r="K23" s="9"/>
      <c r="L23" s="9"/>
      <c r="M23" s="9"/>
      <c r="N23" s="9"/>
      <c r="O23" s="9"/>
    </row>
    <row r="24" customFormat="false" ht="15" hidden="false" customHeight="true" outlineLevel="0" collapsed="false">
      <c r="A24" s="9"/>
      <c r="B24" s="9"/>
      <c r="C24" s="9"/>
      <c r="D24" s="9"/>
      <c r="E24" s="9"/>
      <c r="F24" s="9"/>
      <c r="G24" s="9"/>
      <c r="H24" s="9"/>
      <c r="I24" s="9"/>
      <c r="J24" s="9"/>
      <c r="K24" s="9"/>
      <c r="L24" s="9"/>
      <c r="M24" s="9"/>
      <c r="N24" s="9"/>
      <c r="O24" s="9"/>
    </row>
    <row r="25" customFormat="false" ht="15" hidden="false" customHeight="true" outlineLevel="0" collapsed="false">
      <c r="A25" s="9"/>
      <c r="B25" s="9"/>
      <c r="C25" s="9"/>
      <c r="D25" s="9"/>
      <c r="E25" s="9"/>
      <c r="F25" s="9"/>
      <c r="G25" s="9"/>
      <c r="H25" s="9"/>
      <c r="I25" s="9"/>
      <c r="J25" s="9"/>
      <c r="K25" s="9"/>
      <c r="L25" s="9"/>
      <c r="M25" s="9"/>
      <c r="N25" s="9"/>
      <c r="O25" s="9"/>
    </row>
    <row r="26" customFormat="false" ht="15" hidden="false" customHeight="true" outlineLevel="0" collapsed="false">
      <c r="A26" s="9"/>
      <c r="B26" s="9"/>
      <c r="C26" s="9"/>
      <c r="D26" s="9"/>
      <c r="E26" s="9"/>
      <c r="F26" s="9"/>
      <c r="G26" s="9"/>
      <c r="H26" s="9"/>
      <c r="I26" s="9"/>
      <c r="J26" s="9"/>
      <c r="K26" s="9"/>
      <c r="L26" s="9"/>
      <c r="M26" s="9"/>
      <c r="N26" s="9"/>
      <c r="O26" s="9"/>
    </row>
    <row r="27" customFormat="false" ht="15" hidden="false" customHeight="true" outlineLevel="0" collapsed="false">
      <c r="A27" s="9"/>
      <c r="B27" s="9"/>
      <c r="C27" s="9"/>
      <c r="D27" s="9"/>
      <c r="E27" s="9"/>
      <c r="F27" s="9"/>
      <c r="G27" s="9"/>
      <c r="H27" s="9"/>
      <c r="I27" s="9"/>
      <c r="J27" s="9"/>
      <c r="K27" s="9"/>
      <c r="L27" s="9"/>
      <c r="M27" s="9"/>
      <c r="N27" s="9"/>
      <c r="O27" s="9"/>
    </row>
    <row r="28" customFormat="false" ht="15" hidden="false" customHeight="true" outlineLevel="0" collapsed="false">
      <c r="A28" s="9"/>
      <c r="B28" s="9"/>
      <c r="C28" s="9"/>
      <c r="D28" s="9"/>
      <c r="E28" s="9"/>
      <c r="F28" s="9"/>
      <c r="G28" s="9"/>
      <c r="H28" s="9"/>
      <c r="I28" s="9"/>
      <c r="J28" s="9"/>
      <c r="K28" s="9"/>
      <c r="L28" s="9"/>
      <c r="M28" s="9"/>
      <c r="N28" s="9"/>
      <c r="O28" s="9"/>
    </row>
    <row r="29" customFormat="false" ht="15" hidden="false" customHeight="true" outlineLevel="0" collapsed="false">
      <c r="A29" s="9"/>
      <c r="B29" s="9"/>
      <c r="C29" s="9"/>
      <c r="D29" s="9"/>
      <c r="E29" s="9"/>
      <c r="F29" s="9"/>
      <c r="G29" s="9"/>
      <c r="H29" s="9"/>
      <c r="I29" s="9"/>
      <c r="J29" s="9"/>
      <c r="K29" s="9"/>
      <c r="L29" s="9"/>
      <c r="M29" s="9"/>
      <c r="N29" s="9"/>
      <c r="O29" s="9"/>
    </row>
    <row r="30" customFormat="false" ht="15" hidden="false" customHeight="true" outlineLevel="0" collapsed="false">
      <c r="A30" s="9"/>
      <c r="B30" s="9"/>
      <c r="C30" s="9"/>
      <c r="D30" s="9"/>
      <c r="E30" s="9"/>
      <c r="F30" s="9"/>
      <c r="G30" s="9"/>
      <c r="H30" s="9"/>
      <c r="I30" s="9"/>
      <c r="J30" s="9"/>
      <c r="K30" s="9"/>
      <c r="L30" s="9"/>
      <c r="M30" s="9"/>
      <c r="N30" s="9"/>
      <c r="O30" s="9"/>
    </row>
    <row r="31" customFormat="false" ht="15" hidden="false" customHeight="true" outlineLevel="0" collapsed="false">
      <c r="A31" s="9"/>
      <c r="B31" s="9"/>
      <c r="C31" s="9"/>
      <c r="D31" s="9"/>
      <c r="E31" s="9"/>
      <c r="F31" s="9"/>
      <c r="G31" s="9"/>
      <c r="H31" s="9"/>
      <c r="I31" s="9"/>
      <c r="J31" s="9"/>
      <c r="K31" s="9"/>
      <c r="L31" s="9"/>
      <c r="M31" s="9"/>
      <c r="N31" s="9"/>
      <c r="O31" s="9"/>
    </row>
    <row r="32" customFormat="false" ht="15" hidden="false" customHeight="true" outlineLevel="0" collapsed="false">
      <c r="A32" s="9"/>
      <c r="B32" s="9"/>
      <c r="C32" s="9"/>
      <c r="D32" s="9"/>
      <c r="E32" s="9"/>
      <c r="F32" s="9"/>
      <c r="G32" s="9"/>
      <c r="H32" s="9"/>
      <c r="I32" s="9"/>
      <c r="J32" s="9"/>
      <c r="K32" s="9"/>
      <c r="L32" s="9"/>
      <c r="M32" s="9"/>
      <c r="N32" s="9"/>
      <c r="O32" s="9"/>
    </row>
    <row r="33" customFormat="false" ht="15" hidden="false" customHeight="true" outlineLevel="0" collapsed="false">
      <c r="A33" s="9"/>
      <c r="B33" s="9"/>
      <c r="C33" s="9"/>
      <c r="D33" s="9"/>
      <c r="E33" s="9"/>
      <c r="F33" s="9"/>
      <c r="G33" s="9"/>
      <c r="H33" s="9"/>
      <c r="I33" s="9"/>
      <c r="J33" s="9"/>
      <c r="K33" s="9"/>
      <c r="L33" s="9"/>
      <c r="M33" s="9"/>
      <c r="N33" s="9"/>
      <c r="O33" s="9"/>
    </row>
    <row r="34" customFormat="false" ht="15" hidden="false" customHeight="true" outlineLevel="0" collapsed="false">
      <c r="A34" s="9"/>
      <c r="B34" s="9"/>
      <c r="C34" s="9"/>
      <c r="D34" s="9"/>
      <c r="E34" s="9"/>
      <c r="F34" s="9"/>
      <c r="G34" s="9"/>
      <c r="H34" s="9"/>
      <c r="I34" s="9"/>
      <c r="J34" s="9"/>
      <c r="K34" s="9"/>
      <c r="L34" s="9"/>
      <c r="M34" s="9"/>
      <c r="N34" s="9"/>
      <c r="O34" s="9"/>
    </row>
    <row r="35" customFormat="false" ht="15" hidden="false" customHeight="true" outlineLevel="0" collapsed="false">
      <c r="A35" s="9"/>
      <c r="B35" s="9"/>
      <c r="C35" s="9"/>
      <c r="D35" s="9"/>
      <c r="E35" s="9"/>
      <c r="F35" s="9"/>
      <c r="G35" s="9"/>
      <c r="H35" s="9"/>
      <c r="I35" s="9"/>
      <c r="J35" s="9"/>
      <c r="K35" s="9"/>
      <c r="L35" s="9"/>
      <c r="M35" s="9"/>
      <c r="N35" s="9"/>
      <c r="O35" s="9"/>
    </row>
    <row r="36" customFormat="false" ht="15" hidden="false" customHeight="true" outlineLevel="0" collapsed="false">
      <c r="A36" s="9"/>
      <c r="B36" s="9"/>
      <c r="C36" s="9"/>
      <c r="D36" s="9"/>
      <c r="E36" s="9"/>
      <c r="F36" s="9"/>
      <c r="G36" s="9"/>
      <c r="H36" s="9"/>
      <c r="I36" s="9"/>
      <c r="J36" s="9"/>
      <c r="K36" s="9"/>
      <c r="L36" s="9"/>
      <c r="M36" s="9"/>
      <c r="N36" s="9"/>
      <c r="O36" s="9"/>
    </row>
    <row r="37" customFormat="false" ht="15" hidden="false" customHeight="true" outlineLevel="0" collapsed="false">
      <c r="A37" s="9"/>
      <c r="B37" s="9"/>
      <c r="C37" s="9"/>
      <c r="D37" s="9"/>
      <c r="E37" s="9"/>
      <c r="F37" s="9"/>
      <c r="G37" s="9"/>
      <c r="H37" s="9"/>
      <c r="I37" s="9"/>
      <c r="J37" s="9"/>
      <c r="K37" s="9"/>
      <c r="L37" s="9"/>
      <c r="M37" s="9"/>
      <c r="N37" s="9"/>
      <c r="O37" s="9"/>
    </row>
    <row r="38" customFormat="false" ht="15" hidden="false" customHeight="true" outlineLevel="0" collapsed="false">
      <c r="A38" s="9"/>
      <c r="B38" s="9"/>
      <c r="C38" s="9"/>
      <c r="D38" s="9"/>
      <c r="E38" s="9"/>
      <c r="F38" s="9"/>
      <c r="G38" s="9"/>
      <c r="H38" s="9"/>
      <c r="I38" s="9"/>
      <c r="J38" s="9"/>
      <c r="K38" s="9"/>
      <c r="L38" s="9"/>
      <c r="M38" s="9"/>
      <c r="N38" s="9"/>
      <c r="O38" s="9"/>
    </row>
    <row r="39" customFormat="false" ht="15" hidden="false" customHeight="true" outlineLevel="0" collapsed="false">
      <c r="A39" s="9"/>
      <c r="B39" s="9"/>
      <c r="C39" s="9"/>
      <c r="D39" s="9"/>
      <c r="E39" s="9"/>
      <c r="F39" s="9"/>
      <c r="G39" s="9"/>
      <c r="H39" s="9"/>
      <c r="I39" s="9"/>
      <c r="J39" s="9"/>
      <c r="K39" s="9"/>
      <c r="L39" s="9"/>
      <c r="M39" s="9"/>
      <c r="N39" s="9"/>
      <c r="O39" s="9"/>
    </row>
    <row r="40" customFormat="false" ht="15" hidden="false" customHeight="true" outlineLevel="0" collapsed="false">
      <c r="A40" s="9"/>
      <c r="B40" s="9"/>
      <c r="C40" s="9"/>
      <c r="D40" s="9"/>
      <c r="E40" s="9"/>
      <c r="F40" s="9"/>
      <c r="G40" s="9"/>
      <c r="H40" s="9"/>
      <c r="I40" s="9"/>
      <c r="J40" s="9"/>
      <c r="K40" s="9"/>
      <c r="L40" s="9"/>
      <c r="M40" s="9"/>
      <c r="N40" s="9"/>
      <c r="O40" s="9"/>
    </row>
    <row r="41" customFormat="false" ht="15" hidden="false" customHeight="true" outlineLevel="0" collapsed="false">
      <c r="A41" s="9"/>
      <c r="B41" s="9"/>
      <c r="C41" s="9"/>
      <c r="D41" s="9"/>
      <c r="E41" s="9"/>
      <c r="F41" s="9"/>
      <c r="G41" s="9"/>
      <c r="H41" s="9"/>
      <c r="I41" s="9"/>
      <c r="J41" s="9"/>
      <c r="K41" s="9"/>
      <c r="L41" s="9"/>
      <c r="M41" s="9"/>
      <c r="N41" s="9"/>
      <c r="O41" s="9"/>
    </row>
    <row r="42" customFormat="false" ht="15" hidden="false" customHeight="true" outlineLevel="0" collapsed="false">
      <c r="A42" s="9"/>
      <c r="B42" s="9"/>
      <c r="C42" s="9"/>
      <c r="D42" s="9"/>
      <c r="E42" s="9"/>
      <c r="F42" s="9"/>
      <c r="G42" s="9"/>
      <c r="H42" s="9"/>
      <c r="I42" s="9"/>
      <c r="J42" s="9"/>
      <c r="K42" s="9"/>
      <c r="L42" s="9"/>
      <c r="M42" s="9"/>
      <c r="N42" s="9"/>
      <c r="O42" s="9"/>
    </row>
    <row r="43" customFormat="false" ht="15" hidden="false" customHeight="true" outlineLevel="0" collapsed="false">
      <c r="A43" s="9"/>
      <c r="B43" s="9"/>
      <c r="C43" s="9"/>
      <c r="D43" s="9"/>
      <c r="E43" s="9"/>
      <c r="F43" s="9"/>
      <c r="G43" s="9"/>
      <c r="H43" s="9"/>
      <c r="I43" s="9"/>
      <c r="J43" s="9"/>
      <c r="K43" s="9"/>
      <c r="L43" s="9"/>
      <c r="M43" s="9"/>
      <c r="N43" s="9"/>
      <c r="O43" s="9"/>
    </row>
    <row r="44" customFormat="false" ht="15" hidden="false" customHeight="true" outlineLevel="0" collapsed="false">
      <c r="A44" s="9"/>
      <c r="B44" s="9"/>
      <c r="C44" s="9"/>
      <c r="D44" s="9"/>
      <c r="E44" s="9"/>
      <c r="F44" s="9"/>
      <c r="G44" s="9"/>
      <c r="H44" s="9"/>
      <c r="I44" s="9"/>
      <c r="J44" s="9"/>
      <c r="K44" s="9"/>
      <c r="L44" s="9"/>
      <c r="M44" s="9"/>
      <c r="N44" s="9"/>
      <c r="O44" s="9"/>
    </row>
    <row r="45" customFormat="false" ht="15" hidden="false" customHeight="true" outlineLevel="0" collapsed="false">
      <c r="A45" s="9"/>
      <c r="B45" s="9"/>
      <c r="C45" s="9"/>
      <c r="D45" s="9"/>
      <c r="E45" s="9"/>
      <c r="F45" s="9"/>
      <c r="G45" s="9"/>
      <c r="H45" s="9"/>
      <c r="I45" s="9"/>
      <c r="J45" s="9"/>
      <c r="K45" s="9"/>
      <c r="L45" s="9"/>
      <c r="M45" s="9"/>
      <c r="N45" s="9"/>
      <c r="O45" s="9"/>
    </row>
    <row r="46" customFormat="false" ht="15" hidden="false" customHeight="true" outlineLevel="0" collapsed="false">
      <c r="A46" s="9"/>
      <c r="B46" s="9"/>
      <c r="C46" s="9"/>
      <c r="D46" s="9"/>
      <c r="E46" s="9"/>
      <c r="F46" s="9"/>
      <c r="G46" s="9"/>
      <c r="H46" s="9"/>
      <c r="I46" s="9"/>
      <c r="J46" s="9"/>
      <c r="K46" s="9"/>
      <c r="L46" s="9"/>
      <c r="M46" s="9"/>
      <c r="N46" s="9"/>
      <c r="O46" s="9"/>
    </row>
    <row r="47" customFormat="false" ht="15" hidden="false" customHeight="true" outlineLevel="0" collapsed="false">
      <c r="A47" s="9"/>
      <c r="B47" s="9"/>
      <c r="C47" s="9"/>
      <c r="D47" s="9"/>
      <c r="E47" s="9"/>
      <c r="F47" s="9"/>
      <c r="G47" s="9"/>
      <c r="H47" s="9"/>
      <c r="I47" s="9"/>
      <c r="J47" s="9"/>
      <c r="K47" s="9"/>
      <c r="L47" s="9"/>
      <c r="M47" s="9"/>
      <c r="N47" s="9"/>
      <c r="O47" s="9"/>
    </row>
    <row r="48" customFormat="false" ht="15" hidden="false" customHeight="true" outlineLevel="0" collapsed="false">
      <c r="A48" s="9"/>
      <c r="B48" s="9"/>
      <c r="C48" s="9"/>
      <c r="D48" s="9"/>
      <c r="E48" s="9"/>
      <c r="F48" s="9"/>
      <c r="G48" s="9"/>
      <c r="H48" s="9"/>
      <c r="I48" s="9"/>
      <c r="J48" s="9"/>
      <c r="K48" s="9"/>
      <c r="L48" s="9"/>
      <c r="M48" s="9"/>
      <c r="N48" s="9"/>
      <c r="O48" s="9"/>
    </row>
    <row r="49" customFormat="false" ht="15" hidden="false" customHeight="true" outlineLevel="0" collapsed="false">
      <c r="A49" s="9"/>
      <c r="B49" s="9"/>
      <c r="C49" s="9"/>
      <c r="D49" s="9"/>
      <c r="E49" s="9"/>
      <c r="F49" s="9"/>
      <c r="G49" s="9"/>
      <c r="H49" s="9"/>
      <c r="I49" s="9"/>
      <c r="J49" s="9"/>
      <c r="K49" s="9"/>
      <c r="L49" s="9"/>
      <c r="M49" s="9"/>
      <c r="N49" s="9"/>
      <c r="O49" s="9"/>
    </row>
    <row r="50" customFormat="false" ht="15" hidden="false" customHeight="true" outlineLevel="0" collapsed="false">
      <c r="A50" s="9"/>
      <c r="B50" s="9"/>
      <c r="C50" s="9"/>
      <c r="D50" s="9"/>
      <c r="E50" s="9"/>
      <c r="F50" s="9"/>
      <c r="G50" s="9"/>
      <c r="H50" s="9"/>
      <c r="I50" s="9"/>
      <c r="J50" s="9"/>
      <c r="K50" s="9"/>
      <c r="L50" s="9"/>
      <c r="M50" s="9"/>
      <c r="N50" s="9"/>
      <c r="O50" s="9"/>
    </row>
    <row r="51" customFormat="false" ht="15" hidden="false" customHeight="true" outlineLevel="0" collapsed="false">
      <c r="A51" s="9"/>
      <c r="B51" s="9"/>
      <c r="C51" s="9"/>
      <c r="D51" s="9"/>
      <c r="E51" s="9"/>
      <c r="F51" s="9"/>
      <c r="G51" s="9"/>
      <c r="H51" s="9"/>
      <c r="I51" s="9"/>
      <c r="J51" s="9"/>
      <c r="K51" s="9"/>
      <c r="L51" s="9"/>
      <c r="M51" s="9"/>
      <c r="N51" s="9"/>
      <c r="O51" s="9"/>
    </row>
    <row r="52" customFormat="false" ht="15" hidden="false" customHeight="true" outlineLevel="0" collapsed="false">
      <c r="A52" s="9"/>
      <c r="B52" s="9"/>
      <c r="C52" s="9"/>
      <c r="D52" s="9"/>
      <c r="E52" s="9"/>
      <c r="F52" s="9"/>
      <c r="G52" s="9"/>
      <c r="H52" s="9"/>
      <c r="I52" s="9"/>
      <c r="J52" s="9"/>
      <c r="K52" s="9"/>
      <c r="L52" s="9"/>
      <c r="M52" s="9"/>
      <c r="N52" s="9"/>
      <c r="O52" s="9"/>
    </row>
    <row r="53" customFormat="false" ht="15" hidden="false" customHeight="true" outlineLevel="0" collapsed="false">
      <c r="A53" s="9"/>
      <c r="B53" s="9"/>
      <c r="C53" s="9"/>
      <c r="D53" s="9"/>
      <c r="E53" s="9"/>
      <c r="F53" s="9"/>
      <c r="G53" s="9"/>
      <c r="H53" s="9"/>
      <c r="I53" s="9"/>
      <c r="J53" s="9"/>
      <c r="K53" s="9"/>
      <c r="L53" s="9"/>
      <c r="M53" s="9"/>
      <c r="N53" s="9"/>
      <c r="O53" s="9"/>
    </row>
    <row r="54" customFormat="false" ht="15" hidden="false" customHeight="true" outlineLevel="0" collapsed="false">
      <c r="A54" s="156" t="s">
        <v>559</v>
      </c>
      <c r="B54" s="9"/>
      <c r="C54" s="9"/>
      <c r="D54" s="9"/>
      <c r="E54" s="9"/>
      <c r="F54" s="9"/>
      <c r="G54" s="9"/>
      <c r="H54" s="9"/>
      <c r="I54" s="9"/>
      <c r="J54" s="9"/>
      <c r="K54" s="9"/>
      <c r="L54" s="9"/>
      <c r="M54" s="9"/>
      <c r="N54" s="9"/>
      <c r="O54" s="9"/>
    </row>
    <row r="55" customFormat="false" ht="15" hidden="false" customHeight="true" outlineLevel="0" collapsed="false">
      <c r="A55" s="9"/>
      <c r="B55" s="9"/>
      <c r="C55" s="9"/>
      <c r="D55" s="9"/>
      <c r="E55" s="9"/>
      <c r="F55" s="9"/>
      <c r="G55" s="9"/>
      <c r="H55" s="9"/>
      <c r="I55" s="9"/>
      <c r="J55" s="9"/>
      <c r="K55" s="9"/>
      <c r="L55" s="9"/>
      <c r="M55" s="9"/>
      <c r="N55" s="9"/>
      <c r="O55" s="9"/>
    </row>
    <row r="56" customFormat="false" ht="15" hidden="false" customHeight="true" outlineLevel="0" collapsed="false">
      <c r="A56" s="9"/>
      <c r="B56" s="9"/>
      <c r="C56" s="9"/>
      <c r="D56" s="9"/>
      <c r="E56" s="9"/>
      <c r="F56" s="9"/>
      <c r="G56" s="9"/>
      <c r="H56" s="9"/>
      <c r="I56" s="9"/>
      <c r="J56" s="9"/>
      <c r="K56" s="9"/>
      <c r="L56" s="9"/>
      <c r="M56" s="9"/>
      <c r="N56" s="9"/>
      <c r="O56" s="9"/>
    </row>
    <row r="57" customFormat="false" ht="15" hidden="false" customHeight="true" outlineLevel="0" collapsed="false">
      <c r="A57" s="9"/>
      <c r="B57" s="9"/>
      <c r="C57" s="9"/>
      <c r="D57" s="9"/>
      <c r="E57" s="9"/>
      <c r="F57" s="9"/>
      <c r="G57" s="9"/>
      <c r="H57" s="9"/>
      <c r="I57" s="9"/>
      <c r="J57" s="9"/>
      <c r="K57" s="9"/>
      <c r="L57" s="9"/>
      <c r="M57" s="9"/>
      <c r="N57" s="9"/>
      <c r="O57" s="9"/>
    </row>
    <row r="58" customFormat="false" ht="15" hidden="false" customHeight="true" outlineLevel="0" collapsed="false">
      <c r="A58" s="9"/>
      <c r="B58" s="9"/>
      <c r="C58" s="9"/>
      <c r="D58" s="9"/>
      <c r="E58" s="9"/>
      <c r="F58" s="9"/>
      <c r="G58" s="9"/>
      <c r="H58" s="9"/>
      <c r="I58" s="9"/>
      <c r="J58" s="9"/>
      <c r="K58" s="9"/>
      <c r="L58" s="9"/>
      <c r="M58" s="9"/>
      <c r="N58" s="9"/>
      <c r="O58" s="9"/>
    </row>
    <row r="59" customFormat="false" ht="15" hidden="false" customHeight="true" outlineLevel="0" collapsed="false">
      <c r="A59" s="9"/>
      <c r="B59" s="9"/>
      <c r="C59" s="9"/>
      <c r="D59" s="9"/>
      <c r="E59" s="9"/>
      <c r="F59" s="9"/>
      <c r="G59" s="9"/>
      <c r="H59" s="9"/>
      <c r="I59" s="9"/>
      <c r="J59" s="9"/>
      <c r="K59" s="9"/>
      <c r="L59" s="9"/>
      <c r="M59" s="9"/>
      <c r="N59" s="9"/>
      <c r="O59" s="9"/>
    </row>
    <row r="60" customFormat="false" ht="15" hidden="false" customHeight="true" outlineLevel="0" collapsed="false">
      <c r="A60" s="9"/>
      <c r="B60" s="9"/>
      <c r="C60" s="9"/>
      <c r="D60" s="9"/>
      <c r="E60" s="9"/>
      <c r="F60" s="9"/>
      <c r="G60" s="9"/>
      <c r="H60" s="9"/>
      <c r="I60" s="9"/>
      <c r="J60" s="9"/>
      <c r="K60" s="9"/>
      <c r="L60" s="9"/>
      <c r="M60" s="9"/>
      <c r="N60" s="9"/>
      <c r="O60" s="9"/>
    </row>
    <row r="61" customFormat="false" ht="15" hidden="false" customHeight="true" outlineLevel="0" collapsed="false">
      <c r="A61" s="9"/>
      <c r="B61" s="9"/>
      <c r="C61" s="9"/>
      <c r="D61" s="9"/>
      <c r="E61" s="9"/>
      <c r="F61" s="9"/>
      <c r="G61" s="9"/>
      <c r="H61" s="9"/>
      <c r="I61" s="9"/>
      <c r="J61" s="9"/>
      <c r="K61" s="9"/>
      <c r="L61" s="9"/>
      <c r="M61" s="9"/>
      <c r="N61" s="9"/>
      <c r="O61" s="9"/>
    </row>
    <row r="62" customFormat="false" ht="15" hidden="false" customHeight="true" outlineLevel="0" collapsed="false">
      <c r="A62" s="9"/>
      <c r="B62" s="9"/>
      <c r="C62" s="9"/>
      <c r="D62" s="9"/>
      <c r="E62" s="9"/>
      <c r="F62" s="9"/>
      <c r="G62" s="9"/>
      <c r="H62" s="9"/>
      <c r="I62" s="9"/>
      <c r="J62" s="9"/>
      <c r="K62" s="9"/>
      <c r="L62" s="9"/>
      <c r="M62" s="9"/>
      <c r="N62" s="9"/>
      <c r="O62" s="9"/>
    </row>
    <row r="63" customFormat="false" ht="15" hidden="false" customHeight="true" outlineLevel="0" collapsed="false">
      <c r="A63" s="9"/>
      <c r="B63" s="9"/>
      <c r="C63" s="9"/>
      <c r="D63" s="9"/>
      <c r="E63" s="9"/>
      <c r="F63" s="9"/>
      <c r="G63" s="9"/>
      <c r="H63" s="9"/>
      <c r="I63" s="9"/>
      <c r="J63" s="9"/>
      <c r="K63" s="9"/>
      <c r="L63" s="9"/>
      <c r="M63" s="9"/>
      <c r="N63" s="9"/>
      <c r="O63" s="9"/>
    </row>
    <row r="64" customFormat="false" ht="15" hidden="false" customHeight="true" outlineLevel="0" collapsed="false">
      <c r="A64" s="9"/>
      <c r="B64" s="9"/>
      <c r="C64" s="9"/>
      <c r="D64" s="9"/>
      <c r="E64" s="9"/>
      <c r="F64" s="9"/>
      <c r="G64" s="9"/>
      <c r="H64" s="9"/>
      <c r="I64" s="9"/>
      <c r="J64" s="9"/>
      <c r="K64" s="9"/>
      <c r="L64" s="9"/>
      <c r="M64" s="9"/>
      <c r="N64" s="9"/>
      <c r="O64" s="9"/>
    </row>
    <row r="65" customFormat="false" ht="15" hidden="false" customHeight="true" outlineLevel="0" collapsed="false">
      <c r="A65" s="9"/>
      <c r="B65" s="9"/>
      <c r="C65" s="9"/>
      <c r="D65" s="9"/>
      <c r="E65" s="9"/>
      <c r="F65" s="9"/>
      <c r="G65" s="9"/>
      <c r="H65" s="9"/>
      <c r="I65" s="9"/>
      <c r="J65" s="9"/>
      <c r="K65" s="9"/>
      <c r="L65" s="9"/>
      <c r="M65" s="9"/>
      <c r="N65" s="9"/>
      <c r="O65" s="9"/>
    </row>
    <row r="66" customFormat="false" ht="15" hidden="false" customHeight="true" outlineLevel="0" collapsed="false">
      <c r="A66" s="9"/>
      <c r="B66" s="9"/>
      <c r="C66" s="9"/>
      <c r="D66" s="9"/>
      <c r="E66" s="9"/>
      <c r="F66" s="9"/>
      <c r="G66" s="9"/>
      <c r="H66" s="9"/>
      <c r="I66" s="9"/>
      <c r="J66" s="9"/>
      <c r="K66" s="9"/>
      <c r="L66" s="9"/>
      <c r="M66" s="9"/>
      <c r="N66" s="9"/>
      <c r="O66" s="9"/>
    </row>
    <row r="67" customFormat="false" ht="15" hidden="false" customHeight="true" outlineLevel="0" collapsed="false">
      <c r="A67" s="9"/>
      <c r="B67" s="9"/>
      <c r="C67" s="9"/>
      <c r="D67" s="9"/>
      <c r="E67" s="9"/>
      <c r="F67" s="9"/>
      <c r="G67" s="9"/>
      <c r="H67" s="9"/>
      <c r="I67" s="9"/>
      <c r="J67" s="9"/>
      <c r="K67" s="9"/>
      <c r="L67" s="9"/>
      <c r="M67" s="9"/>
      <c r="N67" s="9"/>
      <c r="O67" s="9"/>
    </row>
    <row r="68" customFormat="false" ht="15" hidden="false" customHeight="true" outlineLevel="0" collapsed="false">
      <c r="A68" s="9"/>
      <c r="B68" s="9"/>
      <c r="C68" s="9"/>
      <c r="D68" s="9"/>
      <c r="E68" s="9"/>
      <c r="F68" s="9"/>
      <c r="G68" s="9"/>
      <c r="H68" s="9"/>
      <c r="I68" s="9"/>
      <c r="J68" s="9"/>
      <c r="K68" s="9"/>
      <c r="L68" s="9"/>
      <c r="M68" s="9"/>
      <c r="N68" s="9"/>
      <c r="O68" s="9"/>
    </row>
    <row r="69" customFormat="false" ht="15" hidden="false" customHeight="true" outlineLevel="0" collapsed="false">
      <c r="A69" s="9"/>
      <c r="B69" s="9"/>
      <c r="C69" s="9"/>
      <c r="D69" s="9"/>
      <c r="E69" s="9"/>
      <c r="F69" s="9"/>
      <c r="G69" s="9"/>
      <c r="H69" s="9"/>
      <c r="I69" s="9"/>
      <c r="J69" s="9"/>
      <c r="K69" s="9"/>
      <c r="L69" s="9"/>
      <c r="M69" s="9"/>
      <c r="N69" s="9"/>
      <c r="O69" s="9"/>
    </row>
    <row r="70" customFormat="false" ht="15" hidden="false" customHeight="true" outlineLevel="0" collapsed="false">
      <c r="A70" s="9"/>
      <c r="B70" s="9"/>
      <c r="C70" s="9"/>
      <c r="D70" s="9"/>
      <c r="E70" s="9"/>
      <c r="F70" s="9"/>
      <c r="G70" s="9"/>
      <c r="H70" s="9"/>
      <c r="I70" s="9"/>
      <c r="J70" s="9"/>
      <c r="K70" s="9"/>
      <c r="L70" s="9"/>
      <c r="M70" s="9"/>
      <c r="N70" s="9"/>
      <c r="O70" s="9"/>
    </row>
    <row r="71" customFormat="false" ht="15" hidden="false" customHeight="true" outlineLevel="0" collapsed="false">
      <c r="A71" s="9"/>
      <c r="B71" s="9"/>
      <c r="C71" s="9"/>
      <c r="D71" s="9"/>
      <c r="E71" s="9"/>
      <c r="F71" s="9"/>
      <c r="G71" s="9"/>
      <c r="H71" s="9"/>
      <c r="I71" s="9"/>
      <c r="J71" s="9"/>
      <c r="K71" s="9"/>
      <c r="L71" s="9"/>
      <c r="M71" s="9"/>
      <c r="N71" s="9"/>
      <c r="O71" s="9"/>
    </row>
    <row r="72" customFormat="false" ht="15" hidden="false" customHeight="true" outlineLevel="0" collapsed="false">
      <c r="A72" s="9"/>
      <c r="B72" s="9"/>
      <c r="C72" s="9"/>
      <c r="D72" s="9"/>
      <c r="E72" s="9"/>
      <c r="F72" s="9"/>
      <c r="G72" s="9"/>
      <c r="H72" s="9"/>
      <c r="I72" s="9"/>
      <c r="J72" s="9"/>
      <c r="K72" s="9"/>
      <c r="L72" s="9"/>
      <c r="M72" s="9"/>
      <c r="N72" s="9"/>
      <c r="O72" s="9"/>
    </row>
    <row r="73" customFormat="false" ht="15" hidden="false" customHeight="true" outlineLevel="0" collapsed="false">
      <c r="A73" s="9"/>
      <c r="B73" s="9"/>
      <c r="C73" s="9"/>
      <c r="D73" s="9"/>
      <c r="E73" s="9"/>
      <c r="F73" s="9"/>
      <c r="G73" s="9"/>
      <c r="H73" s="9"/>
      <c r="I73" s="9"/>
      <c r="J73" s="9"/>
      <c r="K73" s="9"/>
      <c r="L73" s="9"/>
      <c r="M73" s="9"/>
      <c r="N73" s="9"/>
      <c r="O73" s="9"/>
    </row>
    <row r="74" customFormat="false" ht="15" hidden="false" customHeight="true" outlineLevel="0" collapsed="false">
      <c r="A74" s="9"/>
      <c r="B74" s="9"/>
      <c r="C74" s="9"/>
      <c r="D74" s="9"/>
      <c r="E74" s="9"/>
      <c r="F74" s="9"/>
      <c r="G74" s="9"/>
      <c r="H74" s="9"/>
      <c r="I74" s="9"/>
      <c r="J74" s="9"/>
      <c r="K74" s="9"/>
      <c r="L74" s="9"/>
      <c r="M74" s="9"/>
      <c r="N74" s="9"/>
      <c r="O74" s="9"/>
    </row>
    <row r="75" customFormat="false" ht="15" hidden="false" customHeight="true" outlineLevel="0" collapsed="false">
      <c r="A75" s="9"/>
      <c r="B75" s="9"/>
      <c r="C75" s="9"/>
      <c r="D75" s="9"/>
      <c r="E75" s="9"/>
      <c r="F75" s="9"/>
      <c r="G75" s="9"/>
      <c r="H75" s="9"/>
      <c r="I75" s="9"/>
      <c r="J75" s="9"/>
      <c r="K75" s="9"/>
      <c r="L75" s="9"/>
      <c r="M75" s="9"/>
      <c r="N75" s="9"/>
      <c r="O75" s="9"/>
    </row>
    <row r="76" customFormat="false" ht="15" hidden="false" customHeight="true" outlineLevel="0" collapsed="false">
      <c r="A76" s="9"/>
      <c r="B76" s="9"/>
      <c r="C76" s="9"/>
      <c r="D76" s="9"/>
      <c r="E76" s="9"/>
      <c r="F76" s="9"/>
      <c r="G76" s="9"/>
      <c r="H76" s="9"/>
      <c r="I76" s="9"/>
      <c r="J76" s="9"/>
      <c r="K76" s="9"/>
      <c r="L76" s="9"/>
      <c r="M76" s="9"/>
      <c r="N76" s="9"/>
      <c r="O76" s="9"/>
    </row>
    <row r="77" customFormat="false" ht="15" hidden="false" customHeight="true" outlineLevel="0" collapsed="false">
      <c r="A77" s="9"/>
      <c r="B77" s="9"/>
      <c r="C77" s="9"/>
      <c r="D77" s="9"/>
      <c r="E77" s="9"/>
      <c r="F77" s="9"/>
      <c r="G77" s="9"/>
      <c r="H77" s="9"/>
      <c r="I77" s="9"/>
      <c r="J77" s="9"/>
      <c r="K77" s="9"/>
      <c r="L77" s="9"/>
      <c r="M77" s="9"/>
      <c r="N77" s="9"/>
      <c r="O77" s="9"/>
    </row>
    <row r="78" customFormat="false" ht="15" hidden="false" customHeight="true" outlineLevel="0" collapsed="false">
      <c r="A78" s="9"/>
      <c r="B78" s="9"/>
      <c r="C78" s="9"/>
      <c r="D78" s="9"/>
      <c r="E78" s="9"/>
      <c r="F78" s="9"/>
      <c r="G78" s="9"/>
      <c r="H78" s="9"/>
      <c r="I78" s="9"/>
      <c r="J78" s="9"/>
      <c r="K78" s="9"/>
      <c r="L78" s="9"/>
      <c r="M78" s="9"/>
      <c r="N78" s="9"/>
      <c r="O78" s="9"/>
    </row>
    <row r="79" customFormat="false" ht="15" hidden="false" customHeight="true" outlineLevel="0" collapsed="false">
      <c r="A79" s="9"/>
      <c r="B79" s="9"/>
      <c r="C79" s="9"/>
      <c r="D79" s="9"/>
      <c r="E79" s="9"/>
      <c r="F79" s="9"/>
      <c r="G79" s="9"/>
      <c r="H79" s="9"/>
      <c r="I79" s="9"/>
      <c r="J79" s="9"/>
      <c r="K79" s="9"/>
      <c r="L79" s="9"/>
      <c r="M79" s="9"/>
      <c r="N79" s="9"/>
      <c r="O79" s="9"/>
    </row>
    <row r="80" customFormat="false" ht="15" hidden="false" customHeight="true" outlineLevel="0" collapsed="false">
      <c r="A80" s="9"/>
      <c r="B80" s="9"/>
      <c r="C80" s="9"/>
      <c r="D80" s="9"/>
      <c r="E80" s="9"/>
      <c r="F80" s="9"/>
      <c r="G80" s="9"/>
      <c r="H80" s="9"/>
      <c r="I80" s="9"/>
      <c r="J80" s="9"/>
      <c r="K80" s="9"/>
      <c r="L80" s="9"/>
      <c r="M80" s="9"/>
      <c r="N80" s="9"/>
      <c r="O80" s="9"/>
    </row>
    <row r="81" customFormat="false" ht="15" hidden="false" customHeight="true" outlineLevel="0" collapsed="false">
      <c r="A81" s="9"/>
      <c r="B81" s="9"/>
      <c r="C81" s="9"/>
      <c r="D81" s="9"/>
      <c r="E81" s="9"/>
      <c r="F81" s="9"/>
      <c r="G81" s="9"/>
      <c r="H81" s="9"/>
      <c r="I81" s="9"/>
      <c r="J81" s="9"/>
      <c r="K81" s="9"/>
      <c r="L81" s="9"/>
      <c r="M81" s="9"/>
      <c r="N81" s="9"/>
      <c r="O81" s="9"/>
    </row>
    <row r="82" customFormat="false" ht="15" hidden="false" customHeight="true" outlineLevel="0" collapsed="false">
      <c r="A82" s="9"/>
      <c r="B82" s="9"/>
      <c r="C82" s="9"/>
      <c r="D82" s="9"/>
      <c r="E82" s="9"/>
      <c r="F82" s="9"/>
      <c r="G82" s="9"/>
      <c r="H82" s="9"/>
      <c r="I82" s="9"/>
      <c r="J82" s="9"/>
      <c r="K82" s="9"/>
      <c r="L82" s="9"/>
      <c r="M82" s="9"/>
      <c r="N82" s="9"/>
      <c r="O82" s="9"/>
    </row>
    <row r="83" customFormat="false" ht="15" hidden="false" customHeight="true" outlineLevel="0" collapsed="false">
      <c r="A83" s="9"/>
      <c r="B83" s="9"/>
      <c r="C83" s="9"/>
      <c r="D83" s="9"/>
      <c r="E83" s="9"/>
      <c r="F83" s="9"/>
      <c r="G83" s="9"/>
      <c r="H83" s="9"/>
      <c r="I83" s="9"/>
      <c r="J83" s="9"/>
      <c r="K83" s="9"/>
      <c r="L83" s="9"/>
      <c r="M83" s="9"/>
      <c r="N83" s="9"/>
      <c r="O83" s="9"/>
    </row>
    <row r="84" customFormat="false" ht="15" hidden="false" customHeight="true" outlineLevel="0" collapsed="false">
      <c r="A84" s="9"/>
      <c r="B84" s="9"/>
      <c r="C84" s="9"/>
      <c r="D84" s="9"/>
      <c r="E84" s="9"/>
      <c r="F84" s="9"/>
      <c r="G84" s="9"/>
      <c r="H84" s="9"/>
      <c r="I84" s="9"/>
      <c r="J84" s="9"/>
      <c r="K84" s="9"/>
      <c r="L84" s="9"/>
      <c r="M84" s="9"/>
      <c r="N84" s="9"/>
      <c r="O84" s="9"/>
    </row>
    <row r="85" customFormat="false" ht="15" hidden="false" customHeight="true" outlineLevel="0" collapsed="false">
      <c r="A85" s="9"/>
      <c r="B85" s="9"/>
      <c r="C85" s="9"/>
      <c r="D85" s="9"/>
      <c r="E85" s="9"/>
      <c r="F85" s="9"/>
      <c r="G85" s="9"/>
      <c r="H85" s="9"/>
      <c r="I85" s="9"/>
      <c r="J85" s="9"/>
      <c r="K85" s="9"/>
      <c r="L85" s="9"/>
      <c r="M85" s="9"/>
      <c r="N85" s="9"/>
      <c r="O85" s="9"/>
    </row>
    <row r="86" customFormat="false" ht="15" hidden="false" customHeight="true" outlineLevel="0" collapsed="false">
      <c r="A86" s="9"/>
      <c r="B86" s="9"/>
      <c r="C86" s="9"/>
      <c r="D86" s="9"/>
      <c r="E86" s="9"/>
      <c r="F86" s="9"/>
      <c r="G86" s="9"/>
      <c r="H86" s="9"/>
      <c r="I86" s="9"/>
      <c r="J86" s="9"/>
      <c r="K86" s="9"/>
      <c r="L86" s="9"/>
      <c r="M86" s="9"/>
      <c r="N86" s="9"/>
      <c r="O86" s="9"/>
    </row>
    <row r="87" customFormat="false" ht="15" hidden="false" customHeight="true" outlineLevel="0" collapsed="false">
      <c r="A87" s="9"/>
      <c r="B87" s="9"/>
      <c r="C87" s="9"/>
      <c r="D87" s="9"/>
      <c r="E87" s="9"/>
      <c r="F87" s="9"/>
      <c r="G87" s="9"/>
      <c r="H87" s="9"/>
      <c r="I87" s="9"/>
      <c r="J87" s="9"/>
      <c r="K87" s="9"/>
      <c r="L87" s="9"/>
      <c r="M87" s="9"/>
      <c r="N87" s="9"/>
      <c r="O87" s="9"/>
    </row>
    <row r="88" customFormat="false" ht="15" hidden="false" customHeight="true" outlineLevel="0" collapsed="false">
      <c r="A88" s="9"/>
      <c r="B88" s="9"/>
      <c r="C88" s="9"/>
      <c r="D88" s="9"/>
      <c r="E88" s="9"/>
      <c r="F88" s="9"/>
      <c r="G88" s="9"/>
      <c r="H88" s="9"/>
      <c r="I88" s="9"/>
      <c r="J88" s="9"/>
      <c r="K88" s="9"/>
      <c r="L88" s="9"/>
      <c r="M88" s="9"/>
      <c r="N88" s="9"/>
      <c r="O88" s="9"/>
    </row>
    <row r="89" customFormat="false" ht="15" hidden="false" customHeight="true" outlineLevel="0" collapsed="false">
      <c r="A89" s="9"/>
      <c r="B89" s="9"/>
      <c r="C89" s="9"/>
      <c r="D89" s="9"/>
      <c r="E89" s="9"/>
      <c r="F89" s="9"/>
      <c r="G89" s="9"/>
      <c r="H89" s="9"/>
      <c r="I89" s="9"/>
      <c r="J89" s="9"/>
      <c r="K89" s="9"/>
      <c r="L89" s="9"/>
      <c r="M89" s="9"/>
      <c r="N89" s="9"/>
      <c r="O89" s="9"/>
    </row>
    <row r="90" customFormat="false" ht="15" hidden="false" customHeight="true" outlineLevel="0" collapsed="false">
      <c r="A90" s="9"/>
      <c r="B90" s="9"/>
      <c r="C90" s="9"/>
      <c r="D90" s="9"/>
      <c r="E90" s="9"/>
      <c r="F90" s="9"/>
      <c r="G90" s="9"/>
      <c r="H90" s="9"/>
      <c r="I90" s="9"/>
      <c r="J90" s="9"/>
      <c r="K90" s="9"/>
      <c r="L90" s="9"/>
      <c r="M90" s="9"/>
      <c r="N90" s="9"/>
      <c r="O90" s="9"/>
    </row>
    <row r="91" customFormat="false" ht="15" hidden="false" customHeight="true" outlineLevel="0" collapsed="false">
      <c r="A91" s="9"/>
      <c r="B91" s="9"/>
      <c r="C91" s="9"/>
      <c r="D91" s="9"/>
      <c r="E91" s="9"/>
      <c r="F91" s="9"/>
      <c r="G91" s="9"/>
      <c r="H91" s="9"/>
      <c r="I91" s="9"/>
      <c r="J91" s="9"/>
      <c r="K91" s="9"/>
      <c r="L91" s="9"/>
      <c r="M91" s="9"/>
      <c r="N91" s="9"/>
      <c r="O91" s="9"/>
    </row>
    <row r="92" customFormat="false" ht="15" hidden="false" customHeight="true" outlineLevel="0" collapsed="false">
      <c r="A92" s="9"/>
      <c r="B92" s="9"/>
      <c r="C92" s="9"/>
      <c r="D92" s="9"/>
      <c r="E92" s="9"/>
      <c r="F92" s="9"/>
      <c r="G92" s="9"/>
      <c r="H92" s="9"/>
      <c r="I92" s="9"/>
      <c r="J92" s="9"/>
      <c r="K92" s="9"/>
      <c r="L92" s="9"/>
      <c r="M92" s="9"/>
      <c r="N92" s="9"/>
      <c r="O92" s="9"/>
    </row>
    <row r="93" customFormat="false" ht="15" hidden="false" customHeight="true" outlineLevel="0" collapsed="false">
      <c r="A93" s="9"/>
      <c r="B93" s="9"/>
      <c r="C93" s="9"/>
      <c r="D93" s="9"/>
      <c r="E93" s="9"/>
      <c r="F93" s="9"/>
      <c r="G93" s="9"/>
      <c r="H93" s="9"/>
      <c r="I93" s="9"/>
      <c r="J93" s="9"/>
      <c r="K93" s="9"/>
      <c r="L93" s="9"/>
      <c r="M93" s="9"/>
      <c r="N93" s="9"/>
      <c r="O93" s="9"/>
    </row>
    <row r="94" customFormat="false" ht="15" hidden="false" customHeight="true" outlineLevel="0" collapsed="false">
      <c r="A94" s="9"/>
      <c r="B94" s="9"/>
      <c r="C94" s="9"/>
      <c r="D94" s="9"/>
      <c r="E94" s="9"/>
      <c r="F94" s="9"/>
      <c r="G94" s="9"/>
      <c r="H94" s="9"/>
      <c r="I94" s="9"/>
      <c r="J94" s="9"/>
      <c r="K94" s="9"/>
      <c r="L94" s="9"/>
      <c r="M94" s="9"/>
      <c r="N94" s="9"/>
      <c r="O94" s="9"/>
    </row>
    <row r="95" customFormat="false" ht="15" hidden="false" customHeight="true" outlineLevel="0" collapsed="false">
      <c r="A95" s="9"/>
      <c r="B95" s="9"/>
      <c r="C95" s="9"/>
      <c r="D95" s="9"/>
      <c r="E95" s="9"/>
      <c r="F95" s="9"/>
      <c r="G95" s="9"/>
      <c r="H95" s="9"/>
      <c r="I95" s="9"/>
      <c r="J95" s="9"/>
      <c r="K95" s="9"/>
      <c r="L95" s="9"/>
      <c r="M95" s="9"/>
      <c r="N95" s="9"/>
      <c r="O95" s="9"/>
    </row>
    <row r="96" customFormat="false" ht="15" hidden="false" customHeight="true" outlineLevel="0" collapsed="false">
      <c r="A96" s="9"/>
      <c r="B96" s="9"/>
      <c r="C96" s="9"/>
      <c r="D96" s="9"/>
      <c r="E96" s="9"/>
      <c r="F96" s="9"/>
      <c r="G96" s="9"/>
      <c r="H96" s="9"/>
      <c r="I96" s="9"/>
      <c r="J96" s="9"/>
      <c r="K96" s="9"/>
      <c r="L96" s="9"/>
      <c r="M96" s="9"/>
      <c r="N96" s="9"/>
      <c r="O96" s="9"/>
    </row>
    <row r="97" customFormat="false" ht="15" hidden="false" customHeight="true" outlineLevel="0" collapsed="false">
      <c r="A97" s="9"/>
      <c r="B97" s="9"/>
      <c r="C97" s="9"/>
      <c r="D97" s="9"/>
      <c r="E97" s="9"/>
      <c r="F97" s="9"/>
      <c r="G97" s="9"/>
      <c r="H97" s="9"/>
      <c r="I97" s="9"/>
      <c r="J97" s="9"/>
      <c r="K97" s="9"/>
      <c r="L97" s="9"/>
      <c r="M97" s="9"/>
      <c r="N97" s="9"/>
      <c r="O97" s="9"/>
    </row>
    <row r="98" customFormat="false" ht="15" hidden="false" customHeight="true" outlineLevel="0" collapsed="false">
      <c r="A98" s="9"/>
      <c r="B98" s="9"/>
      <c r="C98" s="9"/>
      <c r="D98" s="9"/>
      <c r="E98" s="9"/>
      <c r="F98" s="9"/>
      <c r="G98" s="9"/>
      <c r="H98" s="9"/>
      <c r="I98" s="9"/>
      <c r="J98" s="9"/>
      <c r="K98" s="9"/>
      <c r="L98" s="9"/>
      <c r="M98" s="9"/>
      <c r="N98" s="9"/>
      <c r="O98" s="9"/>
    </row>
    <row r="99" customFormat="false" ht="15" hidden="false" customHeight="true" outlineLevel="0" collapsed="false">
      <c r="A99" s="9"/>
      <c r="B99" s="9"/>
      <c r="C99" s="9"/>
      <c r="D99" s="9"/>
      <c r="E99" s="9"/>
      <c r="F99" s="9"/>
      <c r="G99" s="3"/>
      <c r="H99" s="3"/>
      <c r="I99" s="3"/>
      <c r="J99" s="3"/>
      <c r="K99" s="3"/>
      <c r="L99" s="3"/>
      <c r="M99" s="3"/>
      <c r="N99" s="3"/>
      <c r="O99" s="3"/>
    </row>
    <row r="100" customFormat="false" ht="15.75" hidden="false" customHeight="true" outlineLevel="0" collapsed="false">
      <c r="A100" s="77" t="s">
        <v>560</v>
      </c>
      <c r="B100" s="77"/>
      <c r="C100" s="77"/>
      <c r="D100" s="77"/>
      <c r="E100" s="77"/>
      <c r="F100" s="77"/>
      <c r="G100" s="3"/>
      <c r="H100" s="3"/>
      <c r="I100" s="3"/>
      <c r="J100" s="3"/>
      <c r="K100" s="3"/>
      <c r="L100" s="3"/>
      <c r="M100" s="3"/>
      <c r="N100" s="3"/>
      <c r="O100" s="3"/>
    </row>
    <row r="101" customFormat="false" ht="15" hidden="false" customHeight="true" outlineLevel="0" collapsed="false">
      <c r="A101" s="157" t="s">
        <v>561</v>
      </c>
      <c r="B101" s="157" t="s">
        <v>562</v>
      </c>
      <c r="C101" s="157" t="s">
        <v>563</v>
      </c>
      <c r="D101" s="9"/>
      <c r="E101" s="9"/>
      <c r="F101" s="9"/>
      <c r="G101" s="3"/>
      <c r="H101" s="3"/>
      <c r="I101" s="3"/>
      <c r="J101" s="3"/>
      <c r="K101" s="3"/>
      <c r="L101" s="3"/>
      <c r="M101" s="3"/>
      <c r="N101" s="3"/>
      <c r="O101" s="3"/>
    </row>
    <row r="102" customFormat="false" ht="15" hidden="false" customHeight="true" outlineLevel="0" collapsed="false">
      <c r="A102" s="158" t="str">
        <f aca="false">"W"&amp;'13W Cash Flow'!C$5</f>
        <v>W1</v>
      </c>
      <c r="B102" s="159" t="n">
        <f aca="false">'13W Cash Flow'!C$39</f>
        <v>229516.48596</v>
      </c>
      <c r="C102" s="159" t="n">
        <f aca="false">'13W Cash Flow'!C$40</f>
        <v>120000</v>
      </c>
      <c r="D102" s="9"/>
      <c r="E102" s="9"/>
      <c r="F102" s="9"/>
      <c r="G102" s="3"/>
      <c r="H102" s="3"/>
      <c r="I102" s="3"/>
      <c r="J102" s="3"/>
      <c r="K102" s="3"/>
      <c r="L102" s="3"/>
      <c r="M102" s="3"/>
      <c r="N102" s="3"/>
      <c r="O102" s="3"/>
    </row>
    <row r="103" customFormat="false" ht="15" hidden="false" customHeight="true" outlineLevel="0" collapsed="false">
      <c r="A103" s="158" t="str">
        <f aca="false">"W"&amp;'13W Cash Flow'!D$5</f>
        <v>W2</v>
      </c>
      <c r="B103" s="159" t="n">
        <f aca="false">'13W Cash Flow'!D$39</f>
        <v>210506.606584</v>
      </c>
      <c r="C103" s="159" t="n">
        <f aca="false">'13W Cash Flow'!D$40</f>
        <v>120000</v>
      </c>
      <c r="D103" s="9"/>
      <c r="E103" s="9"/>
      <c r="F103" s="9"/>
      <c r="G103" s="3"/>
      <c r="H103" s="3"/>
      <c r="I103" s="3"/>
      <c r="J103" s="3"/>
      <c r="K103" s="3"/>
      <c r="L103" s="3"/>
      <c r="M103" s="3"/>
      <c r="N103" s="3"/>
      <c r="O103" s="3"/>
    </row>
    <row r="104" customFormat="false" ht="15" hidden="false" customHeight="true" outlineLevel="0" collapsed="false">
      <c r="A104" s="158" t="str">
        <f aca="false">"W"&amp;'13W Cash Flow'!E$5</f>
        <v>W3</v>
      </c>
      <c r="B104" s="159" t="n">
        <f aca="false">'13W Cash Flow'!E$39</f>
        <v>237278.14226</v>
      </c>
      <c r="C104" s="159" t="n">
        <f aca="false">'13W Cash Flow'!E$40</f>
        <v>120000</v>
      </c>
      <c r="D104" s="9"/>
      <c r="E104" s="9"/>
      <c r="F104" s="9"/>
      <c r="G104" s="3"/>
      <c r="H104" s="3"/>
      <c r="I104" s="3"/>
      <c r="J104" s="3"/>
      <c r="K104" s="3"/>
      <c r="L104" s="3"/>
      <c r="M104" s="3"/>
      <c r="N104" s="3"/>
      <c r="O104" s="3"/>
    </row>
    <row r="105" customFormat="false" ht="15" hidden="false" customHeight="true" outlineLevel="0" collapsed="false">
      <c r="A105" s="158" t="str">
        <f aca="false">"W"&amp;'13W Cash Flow'!F$5</f>
        <v>W4</v>
      </c>
      <c r="B105" s="159" t="n">
        <f aca="false">'13W Cash Flow'!F$39</f>
        <v>265003.41798</v>
      </c>
      <c r="C105" s="159" t="n">
        <f aca="false">'13W Cash Flow'!F$40</f>
        <v>120000</v>
      </c>
      <c r="D105" s="9"/>
      <c r="E105" s="9"/>
      <c r="F105" s="9"/>
      <c r="G105" s="3"/>
      <c r="H105" s="3"/>
      <c r="I105" s="3"/>
      <c r="J105" s="3"/>
      <c r="K105" s="3"/>
      <c r="L105" s="3"/>
      <c r="M105" s="3"/>
      <c r="N105" s="3"/>
      <c r="O105" s="3"/>
    </row>
    <row r="106" customFormat="false" ht="15" hidden="false" customHeight="true" outlineLevel="0" collapsed="false">
      <c r="A106" s="158" t="str">
        <f aca="false">"W"&amp;'13W Cash Flow'!G$5</f>
        <v>W5</v>
      </c>
      <c r="B106" s="159" t="n">
        <f aca="false">'13W Cash Flow'!G$39</f>
        <v>173817.289784</v>
      </c>
      <c r="C106" s="159" t="n">
        <f aca="false">'13W Cash Flow'!G$40</f>
        <v>120000</v>
      </c>
      <c r="D106" s="9"/>
      <c r="E106" s="9"/>
      <c r="F106" s="9"/>
      <c r="G106" s="3"/>
      <c r="H106" s="3"/>
      <c r="I106" s="3"/>
      <c r="J106" s="3"/>
      <c r="K106" s="3"/>
      <c r="L106" s="3"/>
      <c r="M106" s="3"/>
      <c r="N106" s="3"/>
      <c r="O106" s="3"/>
    </row>
    <row r="107" customFormat="false" ht="15" hidden="false" customHeight="true" outlineLevel="0" collapsed="false">
      <c r="A107" s="158" t="str">
        <f aca="false">"W"&amp;'13W Cash Flow'!H$5</f>
        <v>W6</v>
      </c>
      <c r="B107" s="159" t="n">
        <f aca="false">'13W Cash Flow'!H$39</f>
        <v>196072.2</v>
      </c>
      <c r="C107" s="159" t="n">
        <f aca="false">'13W Cash Flow'!H$40</f>
        <v>120000</v>
      </c>
      <c r="D107" s="9"/>
      <c r="E107" s="9"/>
      <c r="F107" s="9"/>
      <c r="G107" s="3"/>
      <c r="H107" s="3"/>
      <c r="I107" s="3"/>
      <c r="J107" s="3"/>
      <c r="K107" s="3"/>
      <c r="L107" s="3"/>
      <c r="M107" s="3"/>
      <c r="N107" s="3"/>
      <c r="O107" s="3"/>
    </row>
    <row r="108" customFormat="false" ht="15" hidden="false" customHeight="true" outlineLevel="0" collapsed="false">
      <c r="A108" s="158" t="str">
        <f aca="false">"W"&amp;'13W Cash Flow'!I$5</f>
        <v>W7</v>
      </c>
      <c r="B108" s="159" t="n">
        <f aca="false">'13W Cash Flow'!I$39</f>
        <v>232293.0914</v>
      </c>
      <c r="C108" s="159" t="n">
        <f aca="false">'13W Cash Flow'!I$40</f>
        <v>120000</v>
      </c>
      <c r="D108" s="9"/>
      <c r="E108" s="9"/>
      <c r="F108" s="9"/>
      <c r="G108" s="3"/>
      <c r="H108" s="3"/>
      <c r="I108" s="3"/>
      <c r="J108" s="3"/>
      <c r="K108" s="3"/>
      <c r="L108" s="3"/>
      <c r="M108" s="3"/>
      <c r="N108" s="3"/>
      <c r="O108" s="3"/>
    </row>
    <row r="109" customFormat="false" ht="15" hidden="false" customHeight="true" outlineLevel="0" collapsed="false">
      <c r="A109" s="158" t="str">
        <f aca="false">"W"&amp;'13W Cash Flow'!J$5</f>
        <v>W8</v>
      </c>
      <c r="B109" s="159" t="n">
        <f aca="false">'13W Cash Flow'!J$39</f>
        <v>180344.897556</v>
      </c>
      <c r="C109" s="159" t="n">
        <f aca="false">'13W Cash Flow'!J$40</f>
        <v>120000</v>
      </c>
      <c r="D109" s="9"/>
      <c r="E109" s="9"/>
      <c r="F109" s="9"/>
      <c r="G109" s="3"/>
      <c r="H109" s="3"/>
      <c r="I109" s="3"/>
      <c r="J109" s="3"/>
      <c r="K109" s="3"/>
      <c r="L109" s="3"/>
      <c r="M109" s="3"/>
      <c r="N109" s="3"/>
      <c r="O109" s="3"/>
    </row>
    <row r="110" customFormat="false" ht="15" hidden="false" customHeight="true" outlineLevel="0" collapsed="false">
      <c r="A110" s="158" t="str">
        <f aca="false">"W"&amp;'13W Cash Flow'!K$5</f>
        <v>W9</v>
      </c>
      <c r="B110" s="159" t="n">
        <f aca="false">'13W Cash Flow'!K$39</f>
        <v>114528.4346</v>
      </c>
      <c r="C110" s="159" t="n">
        <f aca="false">'13W Cash Flow'!K$40</f>
        <v>120000</v>
      </c>
      <c r="D110" s="9"/>
      <c r="E110" s="9"/>
      <c r="F110" s="9"/>
      <c r="G110" s="3"/>
      <c r="H110" s="3"/>
      <c r="I110" s="3"/>
      <c r="J110" s="3"/>
      <c r="K110" s="3"/>
      <c r="L110" s="3"/>
      <c r="M110" s="3"/>
      <c r="N110" s="3"/>
      <c r="O110" s="3"/>
    </row>
    <row r="111" customFormat="false" ht="15" hidden="false" customHeight="true" outlineLevel="0" collapsed="false">
      <c r="A111" s="158" t="str">
        <f aca="false">"W"&amp;'13W Cash Flow'!L$5</f>
        <v>W10</v>
      </c>
      <c r="B111" s="159" t="n">
        <f aca="false">'13W Cash Flow'!L$39</f>
        <v>134028.496084</v>
      </c>
      <c r="C111" s="159" t="n">
        <f aca="false">'13W Cash Flow'!L$40</f>
        <v>120000</v>
      </c>
      <c r="D111" s="9"/>
      <c r="E111" s="9"/>
      <c r="F111" s="9"/>
      <c r="G111" s="3"/>
      <c r="H111" s="3"/>
      <c r="I111" s="3"/>
      <c r="J111" s="3"/>
      <c r="K111" s="3"/>
      <c r="L111" s="3"/>
      <c r="M111" s="3"/>
      <c r="N111" s="3"/>
      <c r="O111" s="3"/>
    </row>
    <row r="112" customFormat="false" ht="15" hidden="false" customHeight="true" outlineLevel="0" collapsed="false">
      <c r="A112" s="158" t="str">
        <f aca="false">"W"&amp;'13W Cash Flow'!M$5</f>
        <v>W11</v>
      </c>
      <c r="B112" s="159" t="n">
        <f aca="false">'13W Cash Flow'!M$39</f>
        <v>129334.055252</v>
      </c>
      <c r="C112" s="159" t="n">
        <f aca="false">'13W Cash Flow'!M$40</f>
        <v>120000</v>
      </c>
      <c r="D112" s="9"/>
      <c r="E112" s="9"/>
      <c r="F112" s="9"/>
      <c r="G112" s="3"/>
      <c r="H112" s="3"/>
      <c r="I112" s="3"/>
      <c r="J112" s="3"/>
      <c r="K112" s="3"/>
      <c r="L112" s="3"/>
      <c r="M112" s="3"/>
      <c r="N112" s="3"/>
      <c r="O112" s="3"/>
    </row>
    <row r="113" customFormat="false" ht="15" hidden="false" customHeight="true" outlineLevel="0" collapsed="false">
      <c r="A113" s="158" t="str">
        <f aca="false">"W"&amp;'13W Cash Flow'!N$5</f>
        <v>W12</v>
      </c>
      <c r="B113" s="159" t="n">
        <f aca="false">'13W Cash Flow'!N$39</f>
        <v>160084.209932</v>
      </c>
      <c r="C113" s="159" t="n">
        <f aca="false">'13W Cash Flow'!N$40</f>
        <v>120000</v>
      </c>
      <c r="D113" s="9"/>
      <c r="E113" s="9"/>
      <c r="F113" s="9"/>
      <c r="G113" s="3"/>
      <c r="H113" s="3"/>
      <c r="I113" s="3"/>
      <c r="J113" s="3"/>
      <c r="K113" s="3"/>
      <c r="L113" s="3"/>
      <c r="M113" s="3"/>
      <c r="N113" s="3"/>
      <c r="O113" s="3"/>
    </row>
    <row r="114" customFormat="false" ht="15" hidden="false" customHeight="true" outlineLevel="0" collapsed="false">
      <c r="A114" s="158" t="str">
        <f aca="false">"W"&amp;'13W Cash Flow'!O$5</f>
        <v>W13</v>
      </c>
      <c r="B114" s="159" t="n">
        <f aca="false">'13W Cash Flow'!O$39</f>
        <v>139650.216524</v>
      </c>
      <c r="C114" s="159" t="n">
        <f aca="false">'13W Cash Flow'!O$40</f>
        <v>120000</v>
      </c>
      <c r="D114" s="9"/>
      <c r="E114" s="9"/>
      <c r="F114" s="9"/>
      <c r="G114" s="3"/>
      <c r="H114" s="3"/>
      <c r="I114" s="3"/>
      <c r="J114" s="3"/>
      <c r="K114" s="3"/>
      <c r="L114" s="3"/>
      <c r="M114" s="3"/>
      <c r="N114" s="3"/>
      <c r="O114" s="3"/>
    </row>
    <row r="115" customFormat="false" ht="15" hidden="false" customHeight="true" outlineLevel="0" collapsed="false">
      <c r="A115" s="9"/>
      <c r="B115" s="9"/>
      <c r="C115" s="9"/>
      <c r="D115" s="9"/>
      <c r="E115" s="9"/>
      <c r="F115" s="9"/>
      <c r="G115" s="3"/>
      <c r="H115" s="3"/>
      <c r="I115" s="3"/>
      <c r="J115" s="3"/>
      <c r="K115" s="3"/>
      <c r="L115" s="3"/>
      <c r="M115" s="3"/>
      <c r="N115" s="3"/>
      <c r="O115" s="3"/>
    </row>
    <row r="116" customFormat="false" ht="15" hidden="false" customHeight="true" outlineLevel="0" collapsed="false">
      <c r="A116" s="157" t="s">
        <v>180</v>
      </c>
      <c r="B116" s="157" t="s">
        <v>564</v>
      </c>
      <c r="C116" s="157" t="s">
        <v>565</v>
      </c>
      <c r="D116" s="157"/>
      <c r="E116" s="9"/>
      <c r="F116" s="9"/>
      <c r="G116" s="3"/>
      <c r="H116" s="3"/>
      <c r="I116" s="3"/>
      <c r="J116" s="3"/>
      <c r="K116" s="3"/>
      <c r="L116" s="3"/>
      <c r="M116" s="3"/>
      <c r="N116" s="3"/>
      <c r="O116" s="3"/>
    </row>
    <row r="117" customFormat="false" ht="15" hidden="false" customHeight="true" outlineLevel="0" collapsed="false">
      <c r="A117" s="158" t="str">
        <f aca="false">'Channel Profitability'!$C$4</f>
        <v>Physical Store</v>
      </c>
      <c r="B117" s="159" t="n">
        <f aca="false">'Channel Profitability'!$C$57</f>
        <v>43345.28</v>
      </c>
      <c r="C117" s="159" t="n">
        <f aca="false">'Channel Profitability'!$C$59</f>
        <v>-1104.72000000001</v>
      </c>
      <c r="D117" s="159"/>
      <c r="E117" s="9"/>
      <c r="F117" s="9"/>
      <c r="G117" s="3"/>
      <c r="H117" s="3"/>
      <c r="I117" s="3"/>
      <c r="J117" s="3"/>
      <c r="K117" s="3"/>
      <c r="L117" s="3"/>
      <c r="M117" s="3"/>
      <c r="N117" s="3"/>
      <c r="O117" s="3"/>
    </row>
    <row r="118" customFormat="false" ht="15" hidden="false" customHeight="true" outlineLevel="0" collapsed="false">
      <c r="A118" s="158" t="str">
        <f aca="false">'Channel Profitability'!$D$4</f>
        <v>E-commerce</v>
      </c>
      <c r="B118" s="159" t="n">
        <f aca="false">'Channel Profitability'!$D$57</f>
        <v>34777.6</v>
      </c>
      <c r="C118" s="159" t="n">
        <f aca="false">'Channel Profitability'!$D$59</f>
        <v>28477.6</v>
      </c>
      <c r="D118" s="159"/>
      <c r="E118" s="9"/>
      <c r="F118" s="9"/>
      <c r="G118" s="3"/>
      <c r="H118" s="3"/>
      <c r="I118" s="3"/>
      <c r="J118" s="3"/>
      <c r="K118" s="3"/>
      <c r="L118" s="3"/>
      <c r="M118" s="3"/>
      <c r="N118" s="3"/>
      <c r="O118" s="3"/>
    </row>
    <row r="119" customFormat="false" ht="15" hidden="false" customHeight="true" outlineLevel="0" collapsed="false">
      <c r="A119" s="158" t="str">
        <f aca="false">'Channel Profitability'!$E$4</f>
        <v>Events / Pop-ups</v>
      </c>
      <c r="B119" s="159" t="n">
        <f aca="false">'Channel Profitability'!$E$57</f>
        <v>12833.1</v>
      </c>
      <c r="C119" s="159" t="n">
        <f aca="false">'Channel Profitability'!$E$59</f>
        <v>12833.1</v>
      </c>
      <c r="D119" s="159"/>
      <c r="E119" s="9"/>
      <c r="F119" s="9"/>
      <c r="G119" s="3"/>
      <c r="H119" s="3"/>
      <c r="I119" s="3"/>
      <c r="J119" s="3"/>
      <c r="K119" s="3"/>
      <c r="L119" s="3"/>
      <c r="M119" s="3"/>
      <c r="N119" s="3"/>
      <c r="O119" s="3"/>
    </row>
    <row r="120" customFormat="false" ht="15" hidden="false" customHeight="true" outlineLevel="0" collapsed="false">
      <c r="A120" s="158" t="str">
        <f aca="false">'Channel Profitability'!$F$4</f>
        <v>Consignment</v>
      </c>
      <c r="B120" s="159" t="n">
        <f aca="false">'Channel Profitability'!$F$57</f>
        <v>9690</v>
      </c>
      <c r="C120" s="159" t="n">
        <f aca="false">'Channel Profitability'!$F$59</f>
        <v>9690</v>
      </c>
      <c r="D120" s="159"/>
      <c r="E120" s="9"/>
      <c r="F120" s="9"/>
      <c r="G120" s="3"/>
      <c r="H120" s="3"/>
      <c r="I120" s="3"/>
      <c r="J120" s="3"/>
      <c r="K120" s="3"/>
      <c r="L120" s="3"/>
      <c r="M120" s="3"/>
      <c r="N120" s="3"/>
      <c r="O120" s="3"/>
    </row>
    <row r="121" customFormat="false" ht="15" hidden="false" customHeight="true" outlineLevel="0" collapsed="false">
      <c r="A121" s="9"/>
      <c r="B121" s="9"/>
      <c r="C121" s="9"/>
      <c r="D121" s="9"/>
      <c r="E121" s="9"/>
      <c r="F121" s="9"/>
      <c r="G121" s="3"/>
      <c r="H121" s="3"/>
      <c r="I121" s="3"/>
      <c r="J121" s="3"/>
      <c r="K121" s="3"/>
      <c r="L121" s="3"/>
      <c r="M121" s="3"/>
      <c r="N121" s="3"/>
      <c r="O121" s="3"/>
    </row>
    <row r="122" customFormat="false" ht="15" hidden="false" customHeight="true" outlineLevel="0" collapsed="false">
      <c r="A122" s="157" t="s">
        <v>566</v>
      </c>
      <c r="B122" s="157" t="s">
        <v>477</v>
      </c>
      <c r="C122" s="9"/>
      <c r="D122" s="9"/>
      <c r="E122" s="9"/>
      <c r="F122" s="9"/>
      <c r="G122" s="3"/>
      <c r="H122" s="3"/>
      <c r="I122" s="3"/>
      <c r="J122" s="3"/>
      <c r="K122" s="3"/>
      <c r="L122" s="3"/>
      <c r="M122" s="3"/>
      <c r="N122" s="3"/>
      <c r="O122" s="3"/>
    </row>
    <row r="123" customFormat="false" ht="15" hidden="false" customHeight="true" outlineLevel="0" collapsed="false">
      <c r="A123" s="160" t="s">
        <v>567</v>
      </c>
      <c r="B123" s="159" t="n">
        <f aca="false">'Store Break-Even'!$C$33</f>
        <v>82720</v>
      </c>
      <c r="C123" s="9"/>
      <c r="D123" s="9"/>
      <c r="E123" s="9"/>
      <c r="F123" s="9"/>
      <c r="G123" s="3"/>
      <c r="H123" s="3"/>
      <c r="I123" s="3"/>
      <c r="J123" s="3"/>
      <c r="K123" s="3"/>
      <c r="L123" s="3"/>
      <c r="M123" s="3"/>
      <c r="N123" s="3"/>
      <c r="O123" s="3"/>
    </row>
    <row r="124" customFormat="false" ht="15" hidden="false" customHeight="true" outlineLevel="0" collapsed="false">
      <c r="A124" s="160" t="s">
        <v>568</v>
      </c>
      <c r="B124" s="159" t="n">
        <f aca="false">'Store Break-Even'!$C$31</f>
        <v>84828.2442748092</v>
      </c>
      <c r="C124" s="9"/>
      <c r="D124" s="9"/>
      <c r="E124" s="9"/>
      <c r="F124" s="9"/>
      <c r="G124" s="3"/>
      <c r="H124" s="3"/>
      <c r="I124" s="3"/>
      <c r="J124" s="3"/>
      <c r="K124" s="3"/>
      <c r="L124" s="3"/>
      <c r="M124" s="3"/>
      <c r="N124" s="3"/>
      <c r="O124" s="3"/>
    </row>
    <row r="125" customFormat="false" ht="15" hidden="false" customHeight="true" outlineLevel="0" collapsed="false">
      <c r="A125" s="9"/>
      <c r="B125" s="9"/>
      <c r="C125" s="9"/>
      <c r="D125" s="9"/>
      <c r="E125" s="9"/>
      <c r="F125" s="9"/>
      <c r="G125" s="3"/>
      <c r="H125" s="3"/>
      <c r="I125" s="3"/>
      <c r="J125" s="3"/>
      <c r="K125" s="3"/>
      <c r="L125" s="3"/>
      <c r="M125" s="3"/>
      <c r="N125" s="3"/>
      <c r="O125" s="3"/>
    </row>
    <row r="126" customFormat="false" ht="15" hidden="false" customHeight="true" outlineLevel="0" collapsed="false">
      <c r="A126" s="157" t="s">
        <v>569</v>
      </c>
      <c r="B126" s="157" t="s">
        <v>570</v>
      </c>
      <c r="C126" s="157" t="s">
        <v>571</v>
      </c>
      <c r="D126" s="9"/>
      <c r="E126" s="9"/>
      <c r="F126" s="9"/>
      <c r="G126" s="3"/>
      <c r="H126" s="3"/>
      <c r="I126" s="3"/>
      <c r="J126" s="3"/>
      <c r="K126" s="3"/>
      <c r="L126" s="3"/>
      <c r="M126" s="3"/>
      <c r="N126" s="3"/>
      <c r="O126" s="3"/>
    </row>
    <row r="127" customFormat="false" ht="15" hidden="false" customHeight="true" outlineLevel="0" collapsed="false">
      <c r="A127" s="158" t="str">
        <f aca="false">Scenarios!$C$5</f>
        <v>1. Current Operations</v>
      </c>
      <c r="B127" s="159" t="n">
        <f aca="false">Scenarios!$C$62</f>
        <v>139650.216524</v>
      </c>
      <c r="C127" s="159" t="n">
        <f aca="false">Scenarios!$C$63</f>
        <v>114528.4346</v>
      </c>
      <c r="D127" s="9"/>
      <c r="E127" s="9"/>
      <c r="F127" s="9"/>
      <c r="G127" s="3"/>
      <c r="H127" s="3"/>
      <c r="I127" s="3"/>
      <c r="J127" s="3"/>
      <c r="K127" s="3"/>
      <c r="L127" s="3"/>
      <c r="M127" s="3"/>
      <c r="N127" s="3"/>
      <c r="O127" s="3"/>
    </row>
    <row r="128" customFormat="false" ht="15" hidden="false" customHeight="true" outlineLevel="0" collapsed="false">
      <c r="A128" s="158" t="str">
        <f aca="false">Scenarios!$D$5</f>
        <v>2. Store Improvement</v>
      </c>
      <c r="B128" s="159" t="n">
        <f aca="false">Scenarios!$D$62</f>
        <v>163301.63986176</v>
      </c>
      <c r="C128" s="159" t="n">
        <f aca="false">Scenarios!$D$63</f>
        <v>130288.226449</v>
      </c>
      <c r="D128" s="9"/>
      <c r="E128" s="9"/>
      <c r="F128" s="9"/>
      <c r="G128" s="3"/>
      <c r="H128" s="3"/>
      <c r="I128" s="3"/>
      <c r="J128" s="3"/>
      <c r="K128" s="3"/>
      <c r="L128" s="3"/>
      <c r="M128" s="3"/>
      <c r="N128" s="3"/>
      <c r="O128" s="3"/>
    </row>
    <row r="129" customFormat="false" ht="15" hidden="false" customHeight="true" outlineLevel="0" collapsed="false">
      <c r="A129" s="158" t="str">
        <f aca="false">Scenarios!$E$5</f>
        <v>3. Store Exit / Channel Shift</v>
      </c>
      <c r="B129" s="159" t="n">
        <f aca="false">Scenarios!$E$62</f>
        <v>128482.576791</v>
      </c>
      <c r="C129" s="159" t="n">
        <f aca="false">Scenarios!$E$63</f>
        <v>97330.402783</v>
      </c>
      <c r="D129" s="9"/>
      <c r="E129" s="9"/>
      <c r="F129" s="9"/>
      <c r="G129" s="3"/>
      <c r="H129" s="3"/>
      <c r="I129" s="3"/>
      <c r="J129" s="3"/>
      <c r="K129" s="3"/>
      <c r="L129" s="3"/>
      <c r="M129" s="3"/>
      <c r="N129" s="3"/>
      <c r="O129" s="3"/>
    </row>
    <row r="130" customFormat="false" ht="15" hidden="false" customHeight="true" outlineLevel="0" collapsed="false">
      <c r="A130" s="9"/>
      <c r="B130" s="9"/>
      <c r="C130" s="9"/>
      <c r="D130" s="9"/>
      <c r="E130" s="9"/>
      <c r="F130" s="9"/>
    </row>
  </sheetData>
  <mergeCells count="12">
    <mergeCell ref="A6:C6"/>
    <mergeCell ref="E6:G6"/>
    <mergeCell ref="I6:K6"/>
    <mergeCell ref="M6:O6"/>
    <mergeCell ref="A11:C11"/>
    <mergeCell ref="E11:G11"/>
    <mergeCell ref="I11:K11"/>
    <mergeCell ref="M11:O11"/>
    <mergeCell ref="A15:O15"/>
    <mergeCell ref="A16:O16"/>
    <mergeCell ref="A17:O17"/>
    <mergeCell ref="A18:O18"/>
  </mergeCells>
  <conditionalFormatting sqref="I11">
    <cfRule type="cellIs" priority="2" operator="lessThan" aboveAverage="0" equalAverage="0" bottom="0" percent="0" rank="0" text="" dxfId="12">
      <formula>0</formula>
    </cfRule>
  </conditionalFormatting>
  <conditionalFormatting sqref="M11">
    <cfRule type="cellIs" priority="3" operator="lessThan" aboveAverage="0" equalAverage="0" bottom="0" percent="0" rank="0" text="" dxfId="12">
      <formula>0</formula>
    </cfRule>
  </conditionalFormatting>
  <conditionalFormatting sqref="I6">
    <cfRule type="cellIs" priority="4" operator="lessThan" aboveAverage="0" equalAverage="0" bottom="0" percent="0" rank="0" text="" dxfId="13">
      <formula>$C$102</formula>
    </cfRule>
  </conditionalFormatting>
  <printOptions headings="false" gridLines="false" gridLinesSet="true" horizontalCentered="false" verticalCentered="false"/>
  <pageMargins left="0.35" right="0.35" top="0.45" bottom="0.45" header="0.511811023622047" footer="0.25"/>
  <pageSetup paperSize="8" scale="100" fitToWidth="1" fitToHeight="1"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C8A"/>
    <pageSetUpPr fitToPage="true"/>
  </sheetPr>
  <dimension ref="A1:D60"/>
  <sheetViews>
    <sheetView showFormulas="false" showGridLines="false" showRowColHeaders="true" showZeros="true" rightToLeft="false" tabSelected="false" showOutlineSymbols="true" defaultGridColor="true" view="normal" topLeftCell="A1" colorId="64" zoomScale="95" zoomScaleNormal="95"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54"/>
    <col collapsed="false" customWidth="true" hidden="false" outlineLevel="0" max="3" min="2" style="1" width="50"/>
  </cols>
  <sheetData>
    <row r="1" customFormat="false" ht="22.5" hidden="false" customHeight="true" outlineLevel="0" collapsed="false">
      <c r="A1" s="2" t="s">
        <v>0</v>
      </c>
      <c r="B1" s="3"/>
      <c r="C1" s="4" t="s">
        <v>1</v>
      </c>
    </row>
    <row r="2" customFormat="false" ht="16.5" hidden="false" customHeight="true" outlineLevel="0" collapsed="false">
      <c r="A2" s="5" t="s">
        <v>572</v>
      </c>
      <c r="B2" s="6"/>
      <c r="C2" s="8" t="s">
        <v>61</v>
      </c>
    </row>
    <row r="3" customFormat="false" ht="15" hidden="false" customHeight="true" outlineLevel="0" collapsed="false">
      <c r="A3" s="9"/>
      <c r="B3" s="9"/>
      <c r="C3" s="9"/>
      <c r="D3" s="9"/>
    </row>
    <row r="4" customFormat="false" ht="19.5" hidden="false" customHeight="true" outlineLevel="0" collapsed="false">
      <c r="A4" s="161" t="s">
        <v>573</v>
      </c>
      <c r="B4" s="161" t="s">
        <v>574</v>
      </c>
      <c r="C4" s="161" t="s">
        <v>575</v>
      </c>
      <c r="D4" s="9"/>
    </row>
    <row r="5" customFormat="false" ht="18.75" hidden="false" customHeight="true" outlineLevel="0" collapsed="false">
      <c r="A5" s="162" t="s">
        <v>576</v>
      </c>
      <c r="B5" s="162"/>
      <c r="C5" s="162"/>
      <c r="D5" s="9"/>
    </row>
    <row r="6" customFormat="false" ht="55.5" hidden="false" customHeight="true" outlineLevel="0" collapsed="false">
      <c r="A6" s="163" t="str">
        <f aca="false">"Cash falls from "&amp;TEXT('13W Cash Flow'!$C$44,"""S$""#,##0")&amp;" to "&amp;TEXT('13W Cash Flow'!$C$50,"""S$""#,##0")&amp;" in Week "&amp;'13W Cash Flow'!$C$51&amp;", a shortfall of "&amp;TEXT(-'13W Cash Flow'!$C$53,"""S$""#,##0")&amp;" against the "&amp;TEXT('13W Cash Flow'!$C$40,"""S$""#,##0")&amp;" buffer, before recovering to "&amp;TEXT('13W Cash Flow'!$C$45,"""S$""#,##0")&amp;" by Week 13."</f>
        <v>Cash falls from S$205,000 to S$114,528 in Week 9, a shortfall of S$5,472 against the S$120,000 buffer, before recovering to S$139,650 by Week 13.</v>
      </c>
      <c r="B6" s="164" t="s">
        <v>577</v>
      </c>
      <c r="C6" s="164" t="s">
        <v>578</v>
      </c>
      <c r="D6" s="9"/>
    </row>
    <row r="7" customFormat="false" ht="6" hidden="false" customHeight="true" outlineLevel="0" collapsed="false">
      <c r="A7" s="9"/>
      <c r="B7" s="9"/>
      <c r="C7" s="9"/>
      <c r="D7" s="9"/>
    </row>
    <row r="8" customFormat="false" ht="18.75" hidden="false" customHeight="true" outlineLevel="0" collapsed="false">
      <c r="A8" s="162" t="s">
        <v>579</v>
      </c>
      <c r="B8" s="162"/>
      <c r="C8" s="162"/>
      <c r="D8" s="9"/>
    </row>
    <row r="9" customFormat="false" ht="55.5" hidden="false" customHeight="true" outlineLevel="0" collapsed="false">
      <c r="A9" s="163" t="str">
        <f aca="false">"Inventory and supplier payments absorb "&amp;TEXT('13W Cash Flow'!$P$20,"""S$""#,##0")&amp;" of the "&amp;TEXT('13W Cash Flow'!$P$35,"""S$""#,##0")&amp;" of 13-week outflows ("&amp;TEXT('13W Cash Flow'!$P$20/'13W Cash Flow'!$P$35,"0.0%")&amp;"), of which "&amp;TEXT(Assumptions!$B$119,"""S$""#,##0")&amp;" is the scheduled AW26 buy."</f>
        <v>Inventory and supplier payments absorb S$409,023 of the S$779,039 of 13-week outflows (52.5%), of which S$235,000 is the scheduled AW26 buy.</v>
      </c>
      <c r="B9" s="164" t="s">
        <v>580</v>
      </c>
      <c r="C9" s="164" t="s">
        <v>581</v>
      </c>
      <c r="D9" s="9"/>
    </row>
    <row r="10" customFormat="false" ht="6" hidden="false" customHeight="true" outlineLevel="0" collapsed="false">
      <c r="A10" s="9"/>
      <c r="B10" s="9"/>
      <c r="C10" s="9"/>
      <c r="D10" s="9"/>
    </row>
    <row r="11" customFormat="false" ht="18.75" hidden="false" customHeight="true" outlineLevel="0" collapsed="false">
      <c r="A11" s="162" t="s">
        <v>582</v>
      </c>
      <c r="B11" s="162"/>
      <c r="C11" s="162"/>
      <c r="D11" s="9"/>
    </row>
    <row r="12" customFormat="false" ht="55.5" hidden="false" customHeight="true" outlineLevel="0" collapsed="false">
      <c r="A12" s="163" t="str">
        <f aca="false">"Store net sales of "&amp;TEXT('Store Break-Even'!$C$33,"""S$""#,##0")&amp;" per month sit "&amp;TEXT(ABS('Store Break-Even'!$C$35),"0.0%")&amp;" below a break-even of "&amp;TEXT('Store Break-Even'!$C$31,"""S$""#,##0")&amp;", a monthly result of "&amp;TEXT('Store Break-Even'!$C$27,"""S$""#,##0;(""S$""#,##0)")&amp;"."</f>
        <v>Store net sales of S$82,720 per month sit 2.5% below a break-even of S$84,828, a monthly result of (S$1,105).</v>
      </c>
      <c r="B12" s="164" t="s">
        <v>583</v>
      </c>
      <c r="C12" s="164" t="str">
        <f aca="false">"Set a time-boxed trading threshold rather than debating closure: the store must reach "&amp;TEXT('Store Break-Even'!$C$31,"""S$""#,##0")&amp;" of monthly net sales within two quarters. Track it monthly and decide on evidence at the lease break."</f>
        <v>Set a time-boxed trading threshold rather than debating closure: the store must reach S$84,828 of monthly net sales within two quarters. Track it monthly and decide on evidence at the lease break.</v>
      </c>
      <c r="D12" s="9"/>
    </row>
    <row r="13" customFormat="false" ht="6" hidden="false" customHeight="true" outlineLevel="0" collapsed="false">
      <c r="A13" s="9"/>
      <c r="B13" s="9"/>
      <c r="C13" s="9"/>
      <c r="D13" s="9"/>
    </row>
    <row r="14" customFormat="false" ht="18.75" hidden="false" customHeight="true" outlineLevel="0" collapsed="false">
      <c r="A14" s="162" t="s">
        <v>584</v>
      </c>
      <c r="B14" s="162"/>
      <c r="C14" s="162"/>
      <c r="D14" s="9"/>
    </row>
    <row r="15" customFormat="false" ht="55.5" hidden="false" customHeight="true" outlineLevel="0" collapsed="false">
      <c r="A15" s="163" t="str">
        <f aca="false">"The store returns the highest contribution margin of any channel at "&amp;TEXT('Channel Profitability'!$C$22,"0.0%")&amp;" against e-commerce at "&amp;TEXT('Channel Profitability'!$D$22,"0.0%")&amp;", yet after direct fixed costs e-commerce earns "&amp;TEXT('Channel Profitability'!$D$33/6,"""S$""#,##0")&amp;" a month and the store "&amp;TEXT('Channel Profitability'!$C$33/6,"""S$""#,##0;(""S$""#,##0)")&amp;"."</f>
        <v>The store returns the highest contribution margin of any channel at 52.4% against e-commerce at 41.6%, yet after direct fixed costs e-commerce earns S$28,478 a month and the store (S$1,105).</v>
      </c>
      <c r="B15" s="164" t="s">
        <v>585</v>
      </c>
      <c r="C15" s="164" t="s">
        <v>586</v>
      </c>
      <c r="D15" s="9"/>
    </row>
    <row r="16" customFormat="false" ht="6" hidden="false" customHeight="true" outlineLevel="0" collapsed="false">
      <c r="A16" s="9"/>
      <c r="B16" s="9"/>
      <c r="C16" s="9"/>
      <c r="D16" s="9"/>
    </row>
    <row r="17" customFormat="false" ht="18.75" hidden="false" customHeight="true" outlineLevel="0" collapsed="false">
      <c r="A17" s="162" t="s">
        <v>587</v>
      </c>
      <c r="B17" s="162"/>
      <c r="C17" s="162"/>
      <c r="D17" s="9"/>
    </row>
    <row r="18" customFormat="false" ht="55.5" hidden="false" customHeight="true" outlineLevel="0" collapsed="false">
      <c r="A18" s="163" t="str">
        <f aca="false">"Consignment turns a "&amp;TEXT('Channel Profitability'!$F$10,"0.0%")&amp;" product gross margin into a "&amp;TEXT('Channel Profitability'!$F$22,"0.0%")&amp;" contribution margin after a "&amp;TEXT(Assumptions!$B$41,"0.0%")&amp;" partner commission, and the cash arrives "&amp;Assumptions!$B$69&amp;" weeks after the sale."</f>
        <v>Consignment turns a 60.0% product gross margin into a 28.5% contribution margin after a 30.0% partner commission, and the cash arrives 4 weeks after the sale.</v>
      </c>
      <c r="B18" s="164" t="s">
        <v>588</v>
      </c>
      <c r="C18" s="164" t="s">
        <v>589</v>
      </c>
      <c r="D18" s="9"/>
    </row>
    <row r="19" customFormat="false" ht="6" hidden="false" customHeight="true" outlineLevel="0" collapsed="false">
      <c r="A19" s="9"/>
      <c r="B19" s="9"/>
      <c r="C19" s="9"/>
      <c r="D19" s="9"/>
    </row>
    <row r="20" customFormat="false" ht="18.75" hidden="false" customHeight="true" outlineLevel="0" collapsed="false">
      <c r="A20" s="162" t="s">
        <v>590</v>
      </c>
      <c r="B20" s="162"/>
      <c r="C20" s="162"/>
      <c r="D20" s="9"/>
    </row>
    <row r="21" customFormat="false" ht="55.5" hidden="false" customHeight="true" outlineLevel="0" collapsed="false">
      <c r="A21" s="163" t="str">
        <f aca="false">"Events return the highest gross margin in the business at "&amp;TEXT('Channel Profitability'!$E$10,"0.0%")&amp;" and a "&amp;TEXT('Channel Profitability'!$E$22,"0.0%")&amp;" contribution margin with no fixed cost, on "&amp;TEXT('Channel Profitability'!$E$7/6,"""S$""#,##0")&amp;" of net revenue per month - but nil in two of the six historical months."</f>
        <v>Events return the highest gross margin in the business at 64.0% and a 44.1% contribution margin with no fixed cost, on S$29,100 of net revenue per month - but nil in two of the six historical months.</v>
      </c>
      <c r="B21" s="164" t="s">
        <v>591</v>
      </c>
      <c r="C21" s="164" t="s">
        <v>592</v>
      </c>
      <c r="D21" s="9"/>
    </row>
    <row r="22" customFormat="false" ht="6" hidden="false" customHeight="true" outlineLevel="0" collapsed="false">
      <c r="A22" s="9"/>
      <c r="B22" s="9"/>
      <c r="C22" s="9"/>
      <c r="D22" s="9"/>
    </row>
    <row r="23" customFormat="false" ht="18.75" hidden="false" customHeight="true" outlineLevel="0" collapsed="false">
      <c r="A23" s="162" t="s">
        <v>593</v>
      </c>
      <c r="B23" s="162"/>
      <c r="C23" s="162"/>
      <c r="D23" s="9"/>
    </row>
    <row r="24" customFormat="false" ht="55.5" hidden="false" customHeight="true" outlineLevel="0" collapsed="false">
      <c r="A24" s="163" t="str">
        <f aca="false">"Monthly run-rate operating profit is "&amp;TEXT(Scenarios!$C$49,"""S$""#,##0")&amp;" as-is, "&amp;TEXT(Scenarios!$D$49,"""S$""#,##0")&amp;" under improvement and "&amp;TEXT(Scenarios!$E$49,"""S$""#,##0")&amp;" on exit; Week 13 cash is "&amp;TEXT(Scenarios!$C$62,"""S$""#,##0")&amp;" / "&amp;TEXT(Scenarios!$D$62,"""S$""#,##0")&amp;" / "&amp;TEXT(Scenarios!$E$62,"""S$""#,##0")&amp;"."</f>
        <v>Monthly run-rate operating profit is S$20,196 as-is, S$27,343 under improvement and S$27,088 on exit; Week 13 cash is S$139,650 / S$163,302 / S$128,483.</v>
      </c>
      <c r="B24" s="164" t="str">
        <f aca="false">"Exit removes a fixed-cost base the store is not covering, but consumes cash at the worst moment, permanently loses about a quarter of group revenue, and needs "&amp;TEXT(Scenarios!$E$72,"0.0%")&amp;" online migration merely to match the improvement case - against the "&amp;TEXT(Scenarios!$E$11,"0.0%")&amp;" assumed."</f>
        <v>Exit removes a fixed-cost base the store is not covering, but consumes cash at the worst moment, permanently loses about a quarter of group revenue, and needs 25.8% online migration merely to match the improvement case - against the 25.0% assumed.</v>
      </c>
      <c r="C24" s="164" t="s">
        <v>594</v>
      </c>
      <c r="D24" s="9"/>
    </row>
    <row r="25" customFormat="false" ht="6" hidden="false" customHeight="true" outlineLevel="0" collapsed="false">
      <c r="A25" s="9"/>
      <c r="B25" s="9"/>
      <c r="C25" s="9"/>
      <c r="D25" s="9"/>
    </row>
    <row r="26" customFormat="false" ht="15.75" hidden="false" customHeight="true" outlineLevel="0" collapsed="false">
      <c r="A26" s="165" t="s">
        <v>595</v>
      </c>
      <c r="B26" s="165"/>
      <c r="C26" s="165"/>
      <c r="D26" s="9"/>
    </row>
    <row r="27" customFormat="false" ht="47.25" hidden="false" customHeight="true" outlineLevel="0" collapsed="false">
      <c r="A27" s="9"/>
      <c r="B27" s="9"/>
      <c r="C27" s="9"/>
      <c r="D27" s="9"/>
    </row>
    <row r="28" customFormat="false" ht="15" hidden="false" customHeight="true" outlineLevel="0" collapsed="false">
      <c r="A28" s="9"/>
      <c r="B28" s="9"/>
      <c r="C28" s="9"/>
      <c r="D28" s="9"/>
    </row>
    <row r="29" customFormat="false" ht="16.5" hidden="false" customHeight="true" outlineLevel="0" collapsed="false">
      <c r="A29" s="9"/>
      <c r="B29" s="9"/>
      <c r="C29" s="9"/>
      <c r="D29" s="9"/>
    </row>
    <row r="30" customFormat="false" ht="58.5" hidden="false" customHeight="true" outlineLevel="0" collapsed="false">
      <c r="A30" s="9"/>
      <c r="B30" s="9"/>
      <c r="C30" s="9"/>
      <c r="D30" s="9"/>
    </row>
    <row r="31" customFormat="false" ht="58.5" hidden="false" customHeight="true" outlineLevel="0" collapsed="false">
      <c r="A31" s="9"/>
      <c r="B31" s="9"/>
      <c r="C31" s="9"/>
      <c r="D31" s="9"/>
    </row>
    <row r="32" customFormat="false" ht="47.25" hidden="false" customHeight="true" outlineLevel="0" collapsed="false">
      <c r="A32" s="9"/>
      <c r="B32" s="9"/>
      <c r="C32" s="9"/>
      <c r="D32" s="9"/>
    </row>
    <row r="33" customFormat="false" ht="15" hidden="false" customHeight="true" outlineLevel="0" collapsed="false">
      <c r="A33" s="9"/>
      <c r="B33" s="9"/>
      <c r="C33" s="9"/>
      <c r="D33" s="9"/>
    </row>
    <row r="34" customFormat="false" ht="16.5" hidden="false" customHeight="true" outlineLevel="0" collapsed="false">
      <c r="A34" s="9"/>
      <c r="B34" s="9"/>
      <c r="C34" s="9"/>
      <c r="D34" s="9"/>
    </row>
    <row r="35" customFormat="false" ht="58.5" hidden="false" customHeight="true" outlineLevel="0" collapsed="false">
      <c r="A35" s="9"/>
      <c r="B35" s="9"/>
      <c r="C35" s="9"/>
      <c r="D35" s="9"/>
    </row>
    <row r="36" customFormat="false" ht="58.5" hidden="false" customHeight="true" outlineLevel="0" collapsed="false">
      <c r="A36" s="9"/>
      <c r="B36" s="9"/>
      <c r="C36" s="9"/>
      <c r="D36" s="9"/>
    </row>
    <row r="37" customFormat="false" ht="70.5" hidden="false" customHeight="true" outlineLevel="0" collapsed="false">
      <c r="A37" s="9"/>
      <c r="B37" s="9"/>
      <c r="C37" s="9"/>
      <c r="D37" s="9"/>
    </row>
    <row r="38" customFormat="false" ht="15" hidden="false" customHeight="true" outlineLevel="0" collapsed="false">
      <c r="A38" s="9"/>
      <c r="B38" s="9"/>
      <c r="C38" s="9"/>
      <c r="D38" s="9"/>
    </row>
    <row r="39" customFormat="false" ht="25.5" hidden="false" customHeight="true" outlineLevel="0" collapsed="false">
      <c r="A39" s="9"/>
      <c r="B39" s="9"/>
      <c r="C39" s="9"/>
      <c r="D39" s="9"/>
    </row>
    <row r="40" customFormat="false" ht="15" hidden="false" customHeight="true" outlineLevel="0" collapsed="false">
      <c r="A40" s="9"/>
      <c r="B40" s="9"/>
      <c r="C40" s="9"/>
      <c r="D40" s="9"/>
    </row>
    <row r="41" customFormat="false" ht="15" hidden="false" customHeight="true" outlineLevel="0" collapsed="false">
      <c r="A41" s="9"/>
      <c r="B41" s="9"/>
      <c r="C41" s="9"/>
      <c r="D41" s="9"/>
    </row>
    <row r="42" customFormat="false" ht="15" hidden="false" customHeight="true" outlineLevel="0" collapsed="false">
      <c r="A42" s="9"/>
      <c r="B42" s="9"/>
      <c r="C42" s="9"/>
      <c r="D42" s="9"/>
    </row>
    <row r="43" customFormat="false" ht="15" hidden="false" customHeight="true" outlineLevel="0" collapsed="false">
      <c r="A43" s="9"/>
      <c r="B43" s="9"/>
      <c r="C43" s="9"/>
      <c r="D43" s="9"/>
    </row>
    <row r="44" customFormat="false" ht="15" hidden="false" customHeight="true" outlineLevel="0" collapsed="false">
      <c r="A44" s="9"/>
      <c r="B44" s="9"/>
      <c r="C44" s="9"/>
      <c r="D44" s="9"/>
    </row>
    <row r="45" customFormat="false" ht="15" hidden="false" customHeight="true" outlineLevel="0" collapsed="false">
      <c r="A45" s="9"/>
      <c r="B45" s="9"/>
      <c r="C45" s="9"/>
      <c r="D45" s="9"/>
    </row>
    <row r="46" customFormat="false" ht="15" hidden="false" customHeight="true" outlineLevel="0" collapsed="false">
      <c r="A46" s="9"/>
      <c r="B46" s="9"/>
      <c r="C46" s="9"/>
      <c r="D46" s="9"/>
    </row>
    <row r="47" customFormat="false" ht="15" hidden="false" customHeight="true" outlineLevel="0" collapsed="false">
      <c r="A47" s="9"/>
      <c r="B47" s="9"/>
      <c r="C47" s="9"/>
      <c r="D47" s="9"/>
    </row>
    <row r="48" customFormat="false" ht="15" hidden="false" customHeight="true" outlineLevel="0" collapsed="false">
      <c r="A48" s="9"/>
      <c r="B48" s="9"/>
      <c r="C48" s="9"/>
      <c r="D48" s="9"/>
    </row>
    <row r="49" customFormat="false" ht="15" hidden="false" customHeight="true" outlineLevel="0" collapsed="false">
      <c r="A49" s="9"/>
      <c r="B49" s="9"/>
      <c r="C49" s="9"/>
      <c r="D49" s="9"/>
    </row>
    <row r="50" customFormat="false" ht="15" hidden="false" customHeight="true" outlineLevel="0" collapsed="false">
      <c r="A50" s="9"/>
      <c r="B50" s="9"/>
      <c r="C50" s="9"/>
      <c r="D50" s="9"/>
    </row>
    <row r="51" customFormat="false" ht="15" hidden="false" customHeight="true" outlineLevel="0" collapsed="false">
      <c r="A51" s="9"/>
      <c r="B51" s="9"/>
      <c r="C51" s="9"/>
      <c r="D51" s="9"/>
    </row>
    <row r="52" customFormat="false" ht="15" hidden="false" customHeight="true" outlineLevel="0" collapsed="false">
      <c r="A52" s="9"/>
      <c r="B52" s="9"/>
      <c r="C52" s="9"/>
      <c r="D52" s="9"/>
    </row>
    <row r="53" customFormat="false" ht="15" hidden="false" customHeight="true" outlineLevel="0" collapsed="false">
      <c r="A53" s="9"/>
      <c r="B53" s="9"/>
      <c r="C53" s="9"/>
      <c r="D53" s="9"/>
    </row>
    <row r="54" customFormat="false" ht="15" hidden="false" customHeight="true" outlineLevel="0" collapsed="false">
      <c r="A54" s="9"/>
      <c r="B54" s="9"/>
      <c r="C54" s="9"/>
      <c r="D54" s="9"/>
    </row>
    <row r="55" customFormat="false" ht="15" hidden="false" customHeight="true" outlineLevel="0" collapsed="false">
      <c r="A55" s="9"/>
      <c r="B55" s="9"/>
      <c r="C55" s="9"/>
      <c r="D55" s="9"/>
    </row>
    <row r="56" customFormat="false" ht="15" hidden="false" customHeight="true" outlineLevel="0" collapsed="false">
      <c r="A56" s="9"/>
      <c r="B56" s="9"/>
      <c r="C56" s="9"/>
      <c r="D56" s="9"/>
    </row>
    <row r="57" customFormat="false" ht="15" hidden="false" customHeight="true" outlineLevel="0" collapsed="false">
      <c r="A57" s="9"/>
      <c r="B57" s="9"/>
      <c r="C57" s="9"/>
      <c r="D57" s="9"/>
    </row>
    <row r="58" customFormat="false" ht="15" hidden="false" customHeight="true" outlineLevel="0" collapsed="false">
      <c r="A58" s="9"/>
      <c r="B58" s="9"/>
      <c r="C58" s="9"/>
      <c r="D58" s="9"/>
    </row>
    <row r="59" customFormat="false" ht="15" hidden="false" customHeight="true" outlineLevel="0" collapsed="false">
      <c r="A59" s="9"/>
      <c r="B59" s="9"/>
      <c r="C59" s="9"/>
      <c r="D59" s="9"/>
    </row>
    <row r="60" customFormat="false" ht="15" hidden="false" customHeight="true" outlineLevel="0" collapsed="false">
      <c r="A60" s="9"/>
      <c r="B60" s="9"/>
      <c r="C60" s="9"/>
      <c r="D60" s="9"/>
    </row>
  </sheetData>
  <mergeCells count="8">
    <mergeCell ref="A5:C5"/>
    <mergeCell ref="A8:C8"/>
    <mergeCell ref="A11:C11"/>
    <mergeCell ref="A14:C14"/>
    <mergeCell ref="A17:C17"/>
    <mergeCell ref="A20:C20"/>
    <mergeCell ref="A23:C23"/>
    <mergeCell ref="A26:C26"/>
  </mergeCells>
  <hyperlinks>
    <hyperlink ref="C2" location="'Dashboard'!A1" display="Back to Dashboard"/>
  </hyperlinks>
  <printOptions headings="false" gridLines="false" gridLinesSet="true" horizontalCentered="false" verticalCentered="false"/>
  <pageMargins left="0.35" right="0.35" top="0.45" bottom="0.45" header="0.511811023622047" footer="0.25"/>
  <pageSetup paperSize="9" scale="100" fitToWidth="1" fitToHeight="0"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99A6"/>
    <pageSetUpPr fitToPage="true"/>
  </sheetPr>
  <dimension ref="A1:G38"/>
  <sheetViews>
    <sheetView showFormulas="false" showGridLines="false" showRowColHeaders="true" showZeros="true" rightToLeft="false" tabSelected="false" showOutlineSymbols="true" defaultGridColor="true" view="normal" topLeftCell="A1" colorId="64" zoomScale="95" zoomScaleNormal="95"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62"/>
    <col collapsed="false" customWidth="true" hidden="false" outlineLevel="0" max="5" min="3" style="1" width="13"/>
    <col collapsed="false" customWidth="true" hidden="false" outlineLevel="0" max="6" min="6" style="1" width="10"/>
    <col collapsed="false" customWidth="true" hidden="false" outlineLevel="0" max="7" min="7" style="1" width="13"/>
  </cols>
  <sheetData>
    <row r="1" customFormat="false" ht="22.5" hidden="false" customHeight="true" outlineLevel="0" collapsed="false">
      <c r="A1" s="2" t="s">
        <v>0</v>
      </c>
      <c r="B1" s="3"/>
      <c r="C1" s="3"/>
      <c r="D1" s="3"/>
      <c r="E1" s="3"/>
      <c r="F1" s="3"/>
      <c r="G1" s="4" t="s">
        <v>1</v>
      </c>
    </row>
    <row r="2" customFormat="false" ht="16.5" hidden="false" customHeight="true" outlineLevel="0" collapsed="false">
      <c r="A2" s="5" t="s">
        <v>596</v>
      </c>
      <c r="B2" s="6"/>
      <c r="C2" s="6"/>
      <c r="D2" s="6"/>
      <c r="E2" s="6"/>
      <c r="F2" s="6"/>
      <c r="G2" s="8" t="s">
        <v>61</v>
      </c>
    </row>
    <row r="3" customFormat="false" ht="15" hidden="false" customHeight="true" outlineLevel="0" collapsed="false">
      <c r="A3" s="3"/>
      <c r="B3" s="3"/>
      <c r="C3" s="3"/>
      <c r="D3" s="3"/>
      <c r="E3" s="3"/>
      <c r="F3" s="3"/>
      <c r="G3" s="3"/>
    </row>
    <row r="4" customFormat="false" ht="24" hidden="false" customHeight="true" outlineLevel="0" collapsed="false">
      <c r="A4" s="166" t="s">
        <v>597</v>
      </c>
      <c r="B4" s="3"/>
      <c r="C4" s="167" t="str">
        <f aca="false">IF(COUNTIF(G7:G36,"FAIL")=0,"PASS","REVIEW REQUIRED")</f>
        <v>PASS</v>
      </c>
      <c r="D4" s="168" t="str">
        <f aca="false">"("&amp;COUNTIF(G7:G36,"PASS")&amp;" of "&amp;30&amp;" controls passing)"</f>
        <v>(30 of 30 controls passing)</v>
      </c>
      <c r="E4" s="3"/>
      <c r="F4" s="3"/>
      <c r="G4" s="3"/>
    </row>
    <row r="5" customFormat="false" ht="13.5" hidden="false" customHeight="true" outlineLevel="0" collapsed="false">
      <c r="A5" s="26" t="s">
        <v>598</v>
      </c>
      <c r="B5" s="3"/>
      <c r="C5" s="3"/>
      <c r="D5" s="3"/>
      <c r="E5" s="3"/>
      <c r="F5" s="3"/>
      <c r="G5" s="3"/>
    </row>
    <row r="6" customFormat="false" ht="19.5" hidden="false" customHeight="true" outlineLevel="0" collapsed="false">
      <c r="A6" s="161" t="s">
        <v>599</v>
      </c>
      <c r="B6" s="161" t="s">
        <v>600</v>
      </c>
      <c r="C6" s="52" t="s">
        <v>601</v>
      </c>
      <c r="D6" s="52" t="s">
        <v>602</v>
      </c>
      <c r="E6" s="52" t="s">
        <v>603</v>
      </c>
      <c r="F6" s="52" t="s">
        <v>604</v>
      </c>
      <c r="G6" s="52" t="s">
        <v>605</v>
      </c>
    </row>
    <row r="7" customFormat="false" ht="25.5" hidden="false" customHeight="true" outlineLevel="0" collapsed="false">
      <c r="A7" s="169" t="s">
        <v>606</v>
      </c>
      <c r="B7" s="170" t="s">
        <v>607</v>
      </c>
      <c r="C7" s="171" t="n">
        <v>0</v>
      </c>
      <c r="D7" s="172" t="n">
        <f aca="false">SUMPRODUCT(ABS('13W Cash Flow'!C9:O9+'13W Cash Flow'!C17:O17-'13W Cash Flow'!C35:O35-'13W Cash Flow'!C39:O39))</f>
        <v>0</v>
      </c>
      <c r="E7" s="172" t="n">
        <f aca="false">D7-C7</f>
        <v>0</v>
      </c>
      <c r="F7" s="173" t="n">
        <v>0.5</v>
      </c>
      <c r="G7" s="174" t="str">
        <f aca="false">IF(ABS(E7)&lt;=F7,"PASS","FAIL")</f>
        <v>PASS</v>
      </c>
    </row>
    <row r="8" customFormat="false" ht="25.5" hidden="false" customHeight="true" outlineLevel="0" collapsed="false">
      <c r="A8" s="169"/>
      <c r="B8" s="175" t="s">
        <v>608</v>
      </c>
      <c r="C8" s="176" t="n">
        <v>0</v>
      </c>
      <c r="D8" s="177" t="n">
        <f aca="false">SUMPRODUCT(ABS('13W Cash Flow'!D9:O9-'13W Cash Flow'!C39:N39))</f>
        <v>0</v>
      </c>
      <c r="E8" s="177" t="n">
        <f aca="false">D8-C8</f>
        <v>0</v>
      </c>
      <c r="F8" s="178" t="n">
        <v>0.5</v>
      </c>
      <c r="G8" s="179" t="str">
        <f aca="false">IF(ABS(E8)&lt;=F8,"PASS","FAIL")</f>
        <v>PASS</v>
      </c>
    </row>
    <row r="9" customFormat="false" ht="25.5" hidden="false" customHeight="true" outlineLevel="0" collapsed="false">
      <c r="A9" s="169"/>
      <c r="B9" s="175" t="s">
        <v>609</v>
      </c>
      <c r="C9" s="176" t="n">
        <v>0</v>
      </c>
      <c r="D9" s="177" t="n">
        <f aca="false">'13W Cash Flow'!$C$9-Assumptions!$B$12</f>
        <v>0</v>
      </c>
      <c r="E9" s="177" t="n">
        <f aca="false">D9-C9</f>
        <v>0</v>
      </c>
      <c r="F9" s="178" t="n">
        <v>0.5</v>
      </c>
      <c r="G9" s="179" t="str">
        <f aca="false">IF(ABS(E9)&lt;=F9,"PASS","FAIL")</f>
        <v>PASS</v>
      </c>
    </row>
    <row r="10" customFormat="false" ht="25.5" hidden="false" customHeight="true" outlineLevel="0" collapsed="false">
      <c r="A10" s="169"/>
      <c r="B10" s="175" t="s">
        <v>610</v>
      </c>
      <c r="C10" s="176" t="n">
        <v>0</v>
      </c>
      <c r="D10" s="177" t="n">
        <f aca="false">'13W Cash Flow'!$P$17-SUM('13W Cash Flow'!$P$12:$P$16)</f>
        <v>0</v>
      </c>
      <c r="E10" s="177" t="n">
        <f aca="false">D10-C10</f>
        <v>0</v>
      </c>
      <c r="F10" s="178" t="n">
        <v>0.5</v>
      </c>
      <c r="G10" s="179" t="str">
        <f aca="false">IF(ABS(E10)&lt;=F10,"PASS","FAIL")</f>
        <v>PASS</v>
      </c>
    </row>
    <row r="11" customFormat="false" ht="25.5" hidden="false" customHeight="true" outlineLevel="0" collapsed="false">
      <c r="A11" s="169"/>
      <c r="B11" s="175" t="s">
        <v>611</v>
      </c>
      <c r="C11" s="176" t="n">
        <v>0</v>
      </c>
      <c r="D11" s="177" t="n">
        <f aca="false">'13W Cash Flow'!$P$35-SUM('13W Cash Flow'!$P$20:$P$34)</f>
        <v>0</v>
      </c>
      <c r="E11" s="177" t="n">
        <f aca="false">D11-C11</f>
        <v>0</v>
      </c>
      <c r="F11" s="178" t="n">
        <v>0.5</v>
      </c>
      <c r="G11" s="179" t="str">
        <f aca="false">IF(ABS(E11)&lt;=F11,"PASS","FAIL")</f>
        <v>PASS</v>
      </c>
    </row>
    <row r="12" customFormat="false" ht="25.5" hidden="false" customHeight="true" outlineLevel="0" collapsed="false">
      <c r="A12" s="169"/>
      <c r="B12" s="175" t="s">
        <v>612</v>
      </c>
      <c r="C12" s="176" t="n">
        <v>0</v>
      </c>
      <c r="D12" s="177" t="n">
        <f aca="false">SUMPRODUCT(ABS('13W Cash Flow'!C40:O40-Assumptions!$B$13))</f>
        <v>0</v>
      </c>
      <c r="E12" s="177" t="n">
        <f aca="false">D12-C12</f>
        <v>0</v>
      </c>
      <c r="F12" s="178" t="n">
        <v>0.5</v>
      </c>
      <c r="G12" s="179" t="str">
        <f aca="false">IF(ABS(E12)&lt;=F12,"PASS","FAIL")</f>
        <v>PASS</v>
      </c>
    </row>
    <row r="13" customFormat="false" ht="25.5" hidden="false" customHeight="true" outlineLevel="0" collapsed="false">
      <c r="A13" s="169"/>
      <c r="B13" s="175" t="s">
        <v>613</v>
      </c>
      <c r="C13" s="176" t="n">
        <v>0</v>
      </c>
      <c r="D13" s="177" t="n">
        <f aca="false">'13W Cash Flow'!$P$76-SUM('13W Cash Flow'!$P$72:$P$75)</f>
        <v>0</v>
      </c>
      <c r="E13" s="177" t="n">
        <f aca="false">D13-C13</f>
        <v>0</v>
      </c>
      <c r="F13" s="178" t="n">
        <v>0.5</v>
      </c>
      <c r="G13" s="179" t="str">
        <f aca="false">IF(ABS(E13)&lt;=F13,"PASS","FAIL")</f>
        <v>PASS</v>
      </c>
    </row>
    <row r="14" customFormat="false" ht="25.5" hidden="false" customHeight="true" outlineLevel="0" collapsed="false">
      <c r="A14" s="169"/>
      <c r="B14" s="175" t="s">
        <v>614</v>
      </c>
      <c r="C14" s="176" t="n">
        <v>0</v>
      </c>
      <c r="D14" s="177" t="n">
        <f aca="false">'13W Cash Flow'!$P$87-Assumptions!$B$119</f>
        <v>0</v>
      </c>
      <c r="E14" s="177" t="n">
        <f aca="false">D14-C14</f>
        <v>0</v>
      </c>
      <c r="F14" s="178" t="n">
        <v>0.5</v>
      </c>
      <c r="G14" s="179" t="str">
        <f aca="false">IF(ABS(E14)&lt;=F14,"PASS","FAIL")</f>
        <v>PASS</v>
      </c>
    </row>
    <row r="15" customFormat="false" ht="25.5" hidden="false" customHeight="true" outlineLevel="0" collapsed="false">
      <c r="A15" s="169"/>
      <c r="B15" s="175" t="s">
        <v>615</v>
      </c>
      <c r="C15" s="176" t="n">
        <v>9</v>
      </c>
      <c r="D15" s="177" t="n">
        <f aca="false">SUM('13W Cash Flow'!C64:O64)+SUM('13W Cash Flow'!C69:O69)+SUM('13W Cash Flow'!C65:O65)</f>
        <v>9</v>
      </c>
      <c r="E15" s="177" t="n">
        <f aca="false">D15-C15</f>
        <v>0</v>
      </c>
      <c r="F15" s="178" t="n">
        <v>0.001</v>
      </c>
      <c r="G15" s="179" t="str">
        <f aca="false">IF(ABS(E15)&lt;=F15,"PASS","FAIL")</f>
        <v>PASS</v>
      </c>
    </row>
    <row r="16" customFormat="false" ht="25.5" hidden="false" customHeight="true" outlineLevel="0" collapsed="false">
      <c r="A16" s="169" t="s">
        <v>616</v>
      </c>
      <c r="B16" s="170" t="s">
        <v>617</v>
      </c>
      <c r="C16" s="171" t="n">
        <v>0</v>
      </c>
      <c r="D16" s="172" t="n">
        <f aca="false">'Channel Profitability'!$G$7-SUM('Channel Profitability'!$C$7:$F$7)</f>
        <v>0</v>
      </c>
      <c r="E16" s="172" t="n">
        <f aca="false">D16-C16</f>
        <v>0</v>
      </c>
      <c r="F16" s="173" t="n">
        <v>0.5</v>
      </c>
      <c r="G16" s="174" t="str">
        <f aca="false">IF(ABS(E16)&lt;=F16,"PASS","FAIL")</f>
        <v>PASS</v>
      </c>
    </row>
    <row r="17" customFormat="false" ht="25.5" hidden="false" customHeight="true" outlineLevel="0" collapsed="false">
      <c r="A17" s="169"/>
      <c r="B17" s="175" t="s">
        <v>618</v>
      </c>
      <c r="C17" s="176" t="n">
        <v>0</v>
      </c>
      <c r="D17" s="177" t="n">
        <f aca="false">'Channel Profitability'!$G$8-SUM('Channel Profitability'!$C$8:$F$8)</f>
        <v>0</v>
      </c>
      <c r="E17" s="177" t="n">
        <f aca="false">D17-C17</f>
        <v>0</v>
      </c>
      <c r="F17" s="178" t="n">
        <v>0.5</v>
      </c>
      <c r="G17" s="179" t="str">
        <f aca="false">IF(ABS(E17)&lt;=F17,"PASS","FAIL")</f>
        <v>PASS</v>
      </c>
    </row>
    <row r="18" customFormat="false" ht="25.5" hidden="false" customHeight="true" outlineLevel="0" collapsed="false">
      <c r="A18" s="169"/>
      <c r="B18" s="175" t="s">
        <v>619</v>
      </c>
      <c r="C18" s="176" t="n">
        <v>0</v>
      </c>
      <c r="D18" s="177" t="n">
        <f aca="false">'Channel Profitability'!$G$5-Assumptions!$I$102</f>
        <v>0</v>
      </c>
      <c r="E18" s="177" t="n">
        <f aca="false">D18-C18</f>
        <v>0</v>
      </c>
      <c r="F18" s="178" t="n">
        <v>0.5</v>
      </c>
      <c r="G18" s="179" t="str">
        <f aca="false">IF(ABS(E18)&lt;=F18,"PASS","FAIL")</f>
        <v>PASS</v>
      </c>
    </row>
    <row r="19" customFormat="false" ht="25.5" hidden="false" customHeight="true" outlineLevel="0" collapsed="false">
      <c r="A19" s="169"/>
      <c r="B19" s="175" t="s">
        <v>620</v>
      </c>
      <c r="C19" s="176" t="n">
        <v>0</v>
      </c>
      <c r="D19" s="177" t="n">
        <f aca="false">'Channel Profitability'!$G$44-('Channel Profitability'!$G$21+'Channel Profitability'!$G$32+'Channel Profitability'!$G$42)</f>
        <v>0</v>
      </c>
      <c r="E19" s="177" t="n">
        <f aca="false">D19-C19</f>
        <v>0</v>
      </c>
      <c r="F19" s="178" t="n">
        <v>0.5</v>
      </c>
      <c r="G19" s="179" t="str">
        <f aca="false">IF(ABS(E19)&lt;=F19,"PASS","FAIL")</f>
        <v>PASS</v>
      </c>
    </row>
    <row r="20" customFormat="false" ht="25.5" hidden="false" customHeight="true" outlineLevel="0" collapsed="false">
      <c r="A20" s="169"/>
      <c r="B20" s="175" t="s">
        <v>621</v>
      </c>
      <c r="C20" s="176" t="n">
        <v>0</v>
      </c>
      <c r="D20" s="177" t="n">
        <f aca="false">'Channel Profitability'!$G$49-'Channel Profitability'!$G$42</f>
        <v>0</v>
      </c>
      <c r="E20" s="177" t="n">
        <f aca="false">D20-C20</f>
        <v>0</v>
      </c>
      <c r="F20" s="178" t="n">
        <v>0.5</v>
      </c>
      <c r="G20" s="179" t="str">
        <f aca="false">IF(ABS(E20)&lt;=F20,"PASS","FAIL")</f>
        <v>PASS</v>
      </c>
    </row>
    <row r="21" customFormat="false" ht="25.5" hidden="false" customHeight="true" outlineLevel="0" collapsed="false">
      <c r="A21" s="169"/>
      <c r="B21" s="175" t="s">
        <v>622</v>
      </c>
      <c r="C21" s="176" t="n">
        <v>0</v>
      </c>
      <c r="D21" s="177" t="n">
        <f aca="false">SUM('Channel Profitability'!$C$50:$F$50)-'Channel Profitability'!$G$44</f>
        <v>0</v>
      </c>
      <c r="E21" s="177" t="n">
        <f aca="false">D21-C21</f>
        <v>0</v>
      </c>
      <c r="F21" s="178" t="n">
        <v>0.5</v>
      </c>
      <c r="G21" s="179" t="str">
        <f aca="false">IF(ABS(E21)&lt;=F21,"PASS","FAIL")</f>
        <v>PASS</v>
      </c>
    </row>
    <row r="22" customFormat="false" ht="25.5" hidden="false" customHeight="true" outlineLevel="0" collapsed="false">
      <c r="A22" s="169" t="s">
        <v>623</v>
      </c>
      <c r="B22" s="170" t="s">
        <v>624</v>
      </c>
      <c r="C22" s="171" t="n">
        <v>0</v>
      </c>
      <c r="D22" s="172" t="n">
        <f aca="false">'Store Break-Even'!$C$16-'Channel Profitability'!$C$57</f>
        <v>0</v>
      </c>
      <c r="E22" s="172" t="n">
        <f aca="false">D22-C22</f>
        <v>0</v>
      </c>
      <c r="F22" s="173" t="n">
        <v>0.5</v>
      </c>
      <c r="G22" s="174" t="str">
        <f aca="false">IF(ABS(E22)&lt;=F22,"PASS","FAIL")</f>
        <v>PASS</v>
      </c>
    </row>
    <row r="23" customFormat="false" ht="25.5" hidden="false" customHeight="true" outlineLevel="0" collapsed="false">
      <c r="A23" s="169"/>
      <c r="B23" s="175" t="s">
        <v>625</v>
      </c>
      <c r="C23" s="176" t="n">
        <v>0</v>
      </c>
      <c r="D23" s="177" t="n">
        <f aca="false">'Store Break-Even'!$C$31*'Store Break-Even'!$C$17+'Store Break-Even'!$C$25</f>
        <v>0</v>
      </c>
      <c r="E23" s="177" t="n">
        <f aca="false">D23-C23</f>
        <v>0</v>
      </c>
      <c r="F23" s="178" t="n">
        <v>0.5</v>
      </c>
      <c r="G23" s="179" t="str">
        <f aca="false">IF(ABS(E23)&lt;=F23,"PASS","FAIL")</f>
        <v>PASS</v>
      </c>
    </row>
    <row r="24" customFormat="false" ht="25.5" hidden="false" customHeight="true" outlineLevel="0" collapsed="false">
      <c r="A24" s="169"/>
      <c r="B24" s="175" t="s">
        <v>626</v>
      </c>
      <c r="C24" s="176" t="n">
        <v>1</v>
      </c>
      <c r="D24" s="177" t="n">
        <f aca="false">IF('Store Break-Even'!$C$17&gt;0,1,0)</f>
        <v>1</v>
      </c>
      <c r="E24" s="177" t="n">
        <f aca="false">D24-C24</f>
        <v>0</v>
      </c>
      <c r="F24" s="178" t="n">
        <v>0.001</v>
      </c>
      <c r="G24" s="179" t="str">
        <f aca="false">IF(ABS(E24)&lt;=F24,"PASS","FAIL")</f>
        <v>PASS</v>
      </c>
    </row>
    <row r="25" customFormat="false" ht="25.5" hidden="false" customHeight="true" outlineLevel="0" collapsed="false">
      <c r="A25" s="169" t="s">
        <v>627</v>
      </c>
      <c r="B25" s="170" t="s">
        <v>628</v>
      </c>
      <c r="C25" s="171" t="n">
        <v>0</v>
      </c>
      <c r="D25" s="172" t="n">
        <f aca="false">Scenarios!$P$97-'13W Cash Flow'!$P$17</f>
        <v>0</v>
      </c>
      <c r="E25" s="172" t="n">
        <f aca="false">D25-C25</f>
        <v>0</v>
      </c>
      <c r="F25" s="173" t="n">
        <v>0.5</v>
      </c>
      <c r="G25" s="174" t="str">
        <f aca="false">IF(ABS(E25)&lt;=F25,"PASS","FAIL")</f>
        <v>PASS</v>
      </c>
    </row>
    <row r="26" customFormat="false" ht="25.5" hidden="false" customHeight="true" outlineLevel="0" collapsed="false">
      <c r="A26" s="169"/>
      <c r="B26" s="175" t="s">
        <v>629</v>
      </c>
      <c r="C26" s="176" t="n">
        <v>0</v>
      </c>
      <c r="D26" s="177" t="n">
        <f aca="false">Scenarios!$P$108-'13W Cash Flow'!$P$35</f>
        <v>0</v>
      </c>
      <c r="E26" s="177" t="n">
        <f aca="false">D26-C26</f>
        <v>0</v>
      </c>
      <c r="F26" s="178" t="n">
        <v>0.5</v>
      </c>
      <c r="G26" s="179" t="str">
        <f aca="false">IF(ABS(E26)&lt;=F26,"PASS","FAIL")</f>
        <v>PASS</v>
      </c>
    </row>
    <row r="27" customFormat="false" ht="25.5" hidden="false" customHeight="true" outlineLevel="0" collapsed="false">
      <c r="A27" s="169"/>
      <c r="B27" s="175" t="s">
        <v>630</v>
      </c>
      <c r="C27" s="176" t="n">
        <v>0</v>
      </c>
      <c r="D27" s="177" t="n">
        <f aca="false">Scenarios!$O$111-'13W Cash Flow'!$O$39</f>
        <v>0</v>
      </c>
      <c r="E27" s="177" t="n">
        <f aca="false">D27-C27</f>
        <v>0</v>
      </c>
      <c r="F27" s="178" t="n">
        <v>0.5</v>
      </c>
      <c r="G27" s="179" t="str">
        <f aca="false">IF(ABS(E27)&lt;=F27,"PASS","FAIL")</f>
        <v>PASS</v>
      </c>
    </row>
    <row r="28" customFormat="false" ht="25.5" hidden="false" customHeight="true" outlineLevel="0" collapsed="false">
      <c r="A28" s="169"/>
      <c r="B28" s="175" t="s">
        <v>631</v>
      </c>
      <c r="C28" s="176" t="n">
        <v>45</v>
      </c>
      <c r="D28" s="177" t="n">
        <f aca="false">COUNT(Scenarios!$C$6:$E$20)</f>
        <v>45</v>
      </c>
      <c r="E28" s="177" t="n">
        <f aca="false">D28-C28</f>
        <v>0</v>
      </c>
      <c r="F28" s="178" t="n">
        <v>0.001</v>
      </c>
      <c r="G28" s="179" t="str">
        <f aca="false">IF(ABS(E28)&lt;=F28,"PASS","FAIL")</f>
        <v>PASS</v>
      </c>
    </row>
    <row r="29" customFormat="false" ht="25.5" hidden="false" customHeight="true" outlineLevel="0" collapsed="false">
      <c r="A29" s="169" t="s">
        <v>632</v>
      </c>
      <c r="B29" s="170" t="s">
        <v>633</v>
      </c>
      <c r="C29" s="171" t="n">
        <v>0</v>
      </c>
      <c r="D29" s="172" t="n">
        <f aca="false">Dashboard!$A$6-'13W Cash Flow'!$C$44</f>
        <v>0</v>
      </c>
      <c r="E29" s="172" t="n">
        <f aca="false">D29-C29</f>
        <v>0</v>
      </c>
      <c r="F29" s="173" t="n">
        <v>0.5</v>
      </c>
      <c r="G29" s="174" t="str">
        <f aca="false">IF(ABS(E29)&lt;=F29,"PASS","FAIL")</f>
        <v>PASS</v>
      </c>
    </row>
    <row r="30" customFormat="false" ht="25.5" hidden="false" customHeight="true" outlineLevel="0" collapsed="false">
      <c r="A30" s="169"/>
      <c r="B30" s="175" t="s">
        <v>634</v>
      </c>
      <c r="C30" s="176" t="n">
        <v>0</v>
      </c>
      <c r="D30" s="177" t="n">
        <f aca="false">Dashboard!$E$6-'13W Cash Flow'!$C$45</f>
        <v>0</v>
      </c>
      <c r="E30" s="177" t="n">
        <f aca="false">D30-C30</f>
        <v>0</v>
      </c>
      <c r="F30" s="178" t="n">
        <v>0.5</v>
      </c>
      <c r="G30" s="179" t="str">
        <f aca="false">IF(ABS(E30)&lt;=F30,"PASS","FAIL")</f>
        <v>PASS</v>
      </c>
    </row>
    <row r="31" customFormat="false" ht="25.5" hidden="false" customHeight="true" outlineLevel="0" collapsed="false">
      <c r="A31" s="169"/>
      <c r="B31" s="175" t="s">
        <v>635</v>
      </c>
      <c r="C31" s="176" t="n">
        <v>0</v>
      </c>
      <c r="D31" s="177" t="n">
        <f aca="false">Dashboard!$M$11-'Store Break-Even'!$C$34</f>
        <v>0</v>
      </c>
      <c r="E31" s="177" t="n">
        <f aca="false">D31-C31</f>
        <v>0</v>
      </c>
      <c r="F31" s="178" t="n">
        <v>0.5</v>
      </c>
      <c r="G31" s="179" t="str">
        <f aca="false">IF(ABS(E31)&lt;=F31,"PASS","FAIL")</f>
        <v>PASS</v>
      </c>
    </row>
    <row r="32" customFormat="false" ht="25.5" hidden="false" customHeight="true" outlineLevel="0" collapsed="false">
      <c r="A32" s="169" t="s">
        <v>636</v>
      </c>
      <c r="B32" s="170" t="s">
        <v>637</v>
      </c>
      <c r="C32" s="171" t="n">
        <v>0</v>
      </c>
      <c r="D32" s="172" t="n">
        <f aca="false">SUMPRODUCT(--ISERROR('13W Cash Flow'!$A$4:$Q$88))</f>
        <v>0</v>
      </c>
      <c r="E32" s="172" t="n">
        <f aca="false">D32-C32</f>
        <v>0</v>
      </c>
      <c r="F32" s="173" t="n">
        <v>0.001</v>
      </c>
      <c r="G32" s="174" t="str">
        <f aca="false">IF(ABS(E32)&lt;=F32,"PASS","FAIL")</f>
        <v>PASS</v>
      </c>
    </row>
    <row r="33" customFormat="false" ht="25.5" hidden="false" customHeight="true" outlineLevel="0" collapsed="false">
      <c r="A33" s="169"/>
      <c r="B33" s="175" t="s">
        <v>638</v>
      </c>
      <c r="C33" s="176" t="n">
        <v>0</v>
      </c>
      <c r="D33" s="177" t="n">
        <f aca="false">SUMPRODUCT(--ISERROR('Channel Profitability'!$A$4:$H$59))</f>
        <v>0</v>
      </c>
      <c r="E33" s="177" t="n">
        <f aca="false">D33-C33</f>
        <v>0</v>
      </c>
      <c r="F33" s="178" t="n">
        <v>0.001</v>
      </c>
      <c r="G33" s="179" t="str">
        <f aca="false">IF(ABS(E33)&lt;=F33,"PASS","FAIL")</f>
        <v>PASS</v>
      </c>
    </row>
    <row r="34" customFormat="false" ht="25.5" hidden="false" customHeight="true" outlineLevel="0" collapsed="false">
      <c r="A34" s="169"/>
      <c r="B34" s="175" t="s">
        <v>639</v>
      </c>
      <c r="C34" s="176" t="n">
        <v>0</v>
      </c>
      <c r="D34" s="177" t="n">
        <f aca="false">SUMPRODUCT(--ISERROR('Store Break-Even'!$A$4:$H$69))</f>
        <v>0</v>
      </c>
      <c r="E34" s="177" t="n">
        <f aca="false">D34-C34</f>
        <v>0</v>
      </c>
      <c r="F34" s="178" t="n">
        <v>0.001</v>
      </c>
      <c r="G34" s="179" t="str">
        <f aca="false">IF(ABS(E34)&lt;=F34,"PASS","FAIL")</f>
        <v>PASS</v>
      </c>
    </row>
    <row r="35" customFormat="false" ht="25.5" hidden="false" customHeight="true" outlineLevel="0" collapsed="false">
      <c r="A35" s="169"/>
      <c r="B35" s="175" t="s">
        <v>640</v>
      </c>
      <c r="C35" s="176" t="n">
        <v>0</v>
      </c>
      <c r="D35" s="177" t="n">
        <f aca="false">SUMPRODUCT(--ISERROR(Scenarios!$A$3:$P$178))</f>
        <v>0</v>
      </c>
      <c r="E35" s="177" t="n">
        <f aca="false">D35-C35</f>
        <v>0</v>
      </c>
      <c r="F35" s="178" t="n">
        <v>0.001</v>
      </c>
      <c r="G35" s="179" t="str">
        <f aca="false">IF(ABS(E35)&lt;=F35,"PASS","FAIL")</f>
        <v>PASS</v>
      </c>
    </row>
    <row r="36" customFormat="false" ht="25.5" hidden="false" customHeight="true" outlineLevel="0" collapsed="false">
      <c r="A36" s="169"/>
      <c r="B36" s="175" t="s">
        <v>641</v>
      </c>
      <c r="C36" s="176" t="n">
        <v>0</v>
      </c>
      <c r="D36" s="177" t="n">
        <f aca="false">SUMPRODUCT(--ISERROR(Dashboard!$A$4:$O$30))+SUMPRODUCT(--ISERROR('Management Insights'!$A$4:$C$26))</f>
        <v>0</v>
      </c>
      <c r="E36" s="177" t="n">
        <f aca="false">D36-C36</f>
        <v>0</v>
      </c>
      <c r="F36" s="178" t="n">
        <v>0.001</v>
      </c>
      <c r="G36" s="179" t="str">
        <f aca="false">IF(ABS(E36)&lt;=F36,"PASS","FAIL")</f>
        <v>PASS</v>
      </c>
    </row>
    <row r="37" customFormat="false" ht="15" hidden="false" customHeight="true" outlineLevel="0" collapsed="false">
      <c r="A37" s="3"/>
      <c r="B37" s="3"/>
      <c r="C37" s="3"/>
      <c r="D37" s="3"/>
      <c r="E37" s="3"/>
      <c r="F37" s="3"/>
      <c r="G37" s="3"/>
    </row>
    <row r="38" customFormat="false" ht="25.5" hidden="false" customHeight="true" outlineLevel="0" collapsed="false">
      <c r="A38" s="3"/>
      <c r="B38" s="180" t="s">
        <v>642</v>
      </c>
      <c r="C38" s="3"/>
      <c r="D38" s="3"/>
      <c r="E38" s="3"/>
      <c r="F38" s="3"/>
      <c r="G38" s="3"/>
    </row>
  </sheetData>
  <mergeCells count="6">
    <mergeCell ref="A7:A15"/>
    <mergeCell ref="A16:A21"/>
    <mergeCell ref="A22:A24"/>
    <mergeCell ref="A25:A28"/>
    <mergeCell ref="A29:A31"/>
    <mergeCell ref="A32:A36"/>
  </mergeCells>
  <conditionalFormatting sqref="G7:G36">
    <cfRule type="cellIs" priority="2" operator="equal" aboveAverage="0" equalAverage="0" bottom="0" percent="0" rank="0" text="" dxfId="10">
      <formula>"PASS"</formula>
    </cfRule>
    <cfRule type="cellIs" priority="3" operator="equal" aboveAverage="0" equalAverage="0" bottom="0" percent="0" rank="0" text="" dxfId="14">
      <formula>"FAIL"</formula>
    </cfRule>
  </conditionalFormatting>
  <conditionalFormatting sqref="C4">
    <cfRule type="cellIs" priority="4" operator="equal" aboveAverage="0" equalAverage="0" bottom="0" percent="0" rank="0" text="" dxfId="15">
      <formula>"PASS"</formula>
    </cfRule>
    <cfRule type="cellIs" priority="5" operator="equal" aboveAverage="0" equalAverage="0" bottom="0" percent="0" rank="0" text="" dxfId="16">
      <formula>"REVIEW REQUIRED"</formula>
    </cfRule>
  </conditionalFormatting>
  <hyperlinks>
    <hyperlink ref="G2" location="'Dashboard'!A1" display="Back to Dashboard"/>
  </hyperlinks>
  <printOptions headings="false" gridLines="false" gridLinesSet="true" horizontalCentered="false" verticalCentered="false"/>
  <pageMargins left="0.35" right="0.35" top="0.45" bottom="0.45" header="0.511811023622047" footer="0.25"/>
  <pageSetup paperSize="9" scale="100" fitToWidth="1" fitToHeight="0" pageOrder="downThenOver" orientation="landscape" blackAndWhite="false" draft="false" cellComments="none" horizontalDpi="300" verticalDpi="300" copies="1"/>
  <headerFooter differentFirst="false" differentOddEven="false">
    <oddHeader/>
    <oddFooter>&amp;L&amp;8 &amp;K808080Atelier North Pte. Ltd.  ·  synthetic FP&amp;&amp;A portfolio model&amp;R&amp;8 &amp;K808080&amp;A  ·  &amp;P / &amp;N</oddFooter>
  </headerFooter>
  <rowBreaks count="1" manualBreakCount="1">
    <brk id="24"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2026-08-26T21:20:33Z</dcterms:created>
  <dc:creator>openpyxl</dc:creator>
  <dc:description/>
  <dc:language>en-US</dc:language>
  <cp:lastModifiedBy/>
  <dcterms:modified xsi:type="dcterms:W3CDTF">2026-08-26T23:37:44Z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