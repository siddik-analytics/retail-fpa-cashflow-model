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C1B7D15D-0DF1-4482-8290-FB36C8B57D6D}" xr6:coauthVersionLast="47" xr6:coauthVersionMax="47" xr10:uidLastSave="{00000000-0000-0000-0000-000000000000}"/>
  <bookViews>
    <workbookView xWindow="-110" yWindow="-110" windowWidth="19420" windowHeight="11500" tabRatio="500" firstSheet="1" activeTab="1" xr2:uid="{00000000-000D-0000-FFFF-FFFF00000000}"/>
  </bookViews>
  <sheets>
    <sheet name="README" sheetId="1" r:id="rId1"/>
    <sheet name="Dashboard" sheetId="7" r:id="rId2"/>
    <sheet name="Management Insights" sheetId="8" r:id="rId3"/>
    <sheet name="13W Cash Flow" sheetId="3" r:id="rId4"/>
    <sheet name="Scenarios" sheetId="6" r:id="rId5"/>
    <sheet name="Channel Profitability" sheetId="4" r:id="rId6"/>
    <sheet name="Store Break-Even" sheetId="5" r:id="rId7"/>
    <sheet name="Assumptions" sheetId="2" r:id="rId8"/>
    <sheet name="Controls" sheetId="9" r:id="rId9"/>
  </sheets>
  <definedNames>
    <definedName name="_xlnm.Print_Area" localSheetId="3">'13W Cash Flow'!$B$2:$R$89</definedName>
    <definedName name="_xlnm.Print_Area" localSheetId="7">Assumptions!$B$2:$P$125</definedName>
    <definedName name="_xlnm.Print_Area" localSheetId="5">'Channel Profitability'!$B$2:$I$62</definedName>
    <definedName name="_xlnm.Print_Area" localSheetId="8">Controls!$B$2:$H$44</definedName>
    <definedName name="_xlnm.Print_Area" localSheetId="1">Dashboard!$B$2:$P$56</definedName>
    <definedName name="_xlnm.Print_Area" localSheetId="2">'Management Insights'!$B$2:$D$27</definedName>
    <definedName name="_xlnm.Print_Area" localSheetId="0">README!$B$2:$D$41</definedName>
    <definedName name="_xlnm.Print_Area" localSheetId="4">Scenarios!$B$2:$Q$80</definedName>
    <definedName name="_xlnm.Print_Area" localSheetId="6">'Store Break-Even'!$B$2:$I$72</definedName>
    <definedName name="_xlnm.Print_Titles" localSheetId="3">'13W Cash Flow'!$2:$8</definedName>
    <definedName name="_xlnm.Print_Titles" localSheetId="7">Assumptions!$2:$3</definedName>
    <definedName name="_xlnm.Print_Titles" localSheetId="5">'Channel Profitability'!$2:$5</definedName>
    <definedName name="_xlnm.Print_Titles" localSheetId="8">Controls!$2:$7</definedName>
    <definedName name="_xlnm.Print_Titles" localSheetId="2">'Management Insights'!$2:$5</definedName>
    <definedName name="_xlnm.Print_Titles" localSheetId="4">Scenarios!$2:$6</definedName>
    <definedName name="_xlnm.Print_Titles" localSheetId="6">'Store Break-Even'!$2:$3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4" i="2" l="1"/>
  <c r="D16" i="3" s="1"/>
  <c r="E182" i="6"/>
  <c r="D182" i="6"/>
  <c r="I93" i="3"/>
  <c r="H93" i="3"/>
  <c r="G93" i="3"/>
  <c r="F93" i="3"/>
  <c r="E93" i="3"/>
  <c r="D93" i="3"/>
  <c r="E29" i="9"/>
  <c r="F29" i="9" s="1"/>
  <c r="H29" i="9" s="1"/>
  <c r="D177" i="6"/>
  <c r="F62" i="6" s="1"/>
  <c r="D151" i="6"/>
  <c r="D174" i="6" s="1"/>
  <c r="D144" i="6"/>
  <c r="E62" i="6" s="1"/>
  <c r="D118" i="6"/>
  <c r="D111" i="6"/>
  <c r="D62" i="6" s="1"/>
  <c r="D85" i="6"/>
  <c r="F76" i="6"/>
  <c r="F45" i="6"/>
  <c r="E45" i="6"/>
  <c r="D45" i="6"/>
  <c r="F36" i="6"/>
  <c r="E36" i="6"/>
  <c r="D36" i="6"/>
  <c r="F35" i="6"/>
  <c r="E35" i="6"/>
  <c r="D35" i="6"/>
  <c r="F34" i="6"/>
  <c r="E34" i="6"/>
  <c r="D34" i="6"/>
  <c r="F33" i="6"/>
  <c r="E33" i="6"/>
  <c r="D33" i="6"/>
  <c r="D25" i="5"/>
  <c r="D24" i="5"/>
  <c r="D23" i="5"/>
  <c r="D22" i="5"/>
  <c r="D21" i="5"/>
  <c r="D26" i="5" s="1"/>
  <c r="H42" i="4"/>
  <c r="H41" i="4"/>
  <c r="H40" i="4"/>
  <c r="H39" i="4"/>
  <c r="H38" i="4"/>
  <c r="H43" i="4" s="1"/>
  <c r="G33" i="4"/>
  <c r="G59" i="4" s="1"/>
  <c r="F33" i="4"/>
  <c r="F59" i="4" s="1"/>
  <c r="E32" i="4"/>
  <c r="H32" i="4" s="1"/>
  <c r="E31" i="4"/>
  <c r="D30" i="4"/>
  <c r="H30" i="4" s="1"/>
  <c r="D29" i="4"/>
  <c r="H29" i="4" s="1"/>
  <c r="D28" i="4"/>
  <c r="H28" i="4" s="1"/>
  <c r="D27" i="4"/>
  <c r="H27" i="4" s="1"/>
  <c r="D26" i="4"/>
  <c r="C20" i="4"/>
  <c r="C19" i="4"/>
  <c r="C18" i="4"/>
  <c r="C17" i="4"/>
  <c r="C16" i="4"/>
  <c r="D88" i="3"/>
  <c r="P76" i="3"/>
  <c r="O76" i="3"/>
  <c r="N76" i="3"/>
  <c r="M76" i="3"/>
  <c r="L76" i="3"/>
  <c r="K76" i="3"/>
  <c r="J76" i="3"/>
  <c r="I76" i="3"/>
  <c r="H76" i="3"/>
  <c r="G76" i="3"/>
  <c r="F76" i="3"/>
  <c r="E76" i="3"/>
  <c r="D76" i="3"/>
  <c r="P75" i="3"/>
  <c r="O75" i="3"/>
  <c r="N75" i="3"/>
  <c r="M75" i="3"/>
  <c r="L75" i="3"/>
  <c r="K75" i="3"/>
  <c r="J75" i="3"/>
  <c r="I75" i="3"/>
  <c r="H75" i="3"/>
  <c r="G75" i="3"/>
  <c r="F75" i="3"/>
  <c r="E75" i="3"/>
  <c r="D75" i="3"/>
  <c r="P74" i="3"/>
  <c r="O74" i="3"/>
  <c r="N74" i="3"/>
  <c r="M74" i="3"/>
  <c r="L74" i="3"/>
  <c r="K74" i="3"/>
  <c r="J74" i="3"/>
  <c r="I74" i="3"/>
  <c r="H74" i="3"/>
  <c r="G74" i="3"/>
  <c r="F74" i="3"/>
  <c r="E74" i="3"/>
  <c r="D74" i="3"/>
  <c r="P73" i="3"/>
  <c r="O73" i="3"/>
  <c r="N73" i="3"/>
  <c r="M73" i="3"/>
  <c r="L73" i="3"/>
  <c r="L80" i="3" s="1"/>
  <c r="K73" i="3"/>
  <c r="K80" i="3" s="1"/>
  <c r="J73" i="3"/>
  <c r="J80" i="3" s="1"/>
  <c r="I73" i="3"/>
  <c r="I80" i="3" s="1"/>
  <c r="H73" i="3"/>
  <c r="H80" i="3" s="1"/>
  <c r="G73" i="3"/>
  <c r="G80" i="3" s="1"/>
  <c r="F73" i="3"/>
  <c r="F80" i="3" s="1"/>
  <c r="E73" i="3"/>
  <c r="E80" i="3" s="1"/>
  <c r="D73" i="3"/>
  <c r="D80" i="3" s="1"/>
  <c r="P41" i="3"/>
  <c r="D115" i="7" s="1"/>
  <c r="O41" i="3"/>
  <c r="D114" i="7" s="1"/>
  <c r="N41" i="3"/>
  <c r="D113" i="7" s="1"/>
  <c r="M41" i="3"/>
  <c r="D112" i="7" s="1"/>
  <c r="L41" i="3"/>
  <c r="D111" i="7" s="1"/>
  <c r="K41" i="3"/>
  <c r="D110" i="7" s="1"/>
  <c r="J41" i="3"/>
  <c r="D109" i="7" s="1"/>
  <c r="I41" i="3"/>
  <c r="D108" i="7" s="1"/>
  <c r="H41" i="3"/>
  <c r="D107" i="7" s="1"/>
  <c r="G41" i="3"/>
  <c r="D106" i="7" s="1"/>
  <c r="F41" i="3"/>
  <c r="D105" i="7" s="1"/>
  <c r="E41" i="3"/>
  <c r="D104" i="7" s="1"/>
  <c r="D41" i="3"/>
  <c r="D33" i="3"/>
  <c r="L29" i="3"/>
  <c r="K29" i="3"/>
  <c r="J29" i="3"/>
  <c r="I29" i="3"/>
  <c r="H29" i="3"/>
  <c r="G29" i="3"/>
  <c r="F29" i="3"/>
  <c r="E29" i="3"/>
  <c r="D29" i="3"/>
  <c r="D17" i="3"/>
  <c r="D13" i="3"/>
  <c r="D10" i="3"/>
  <c r="D7" i="3"/>
  <c r="E6" i="3"/>
  <c r="C120" i="2"/>
  <c r="C111" i="2"/>
  <c r="C110" i="2"/>
  <c r="C109" i="2"/>
  <c r="C108" i="2"/>
  <c r="I103" i="2"/>
  <c r="H103" i="2"/>
  <c r="G103" i="2"/>
  <c r="F103" i="2"/>
  <c r="E103" i="2"/>
  <c r="D103" i="2"/>
  <c r="J102" i="2"/>
  <c r="J101" i="2"/>
  <c r="J100" i="2"/>
  <c r="J99" i="2"/>
  <c r="D6" i="4" s="1"/>
  <c r="C94" i="2"/>
  <c r="C93" i="2"/>
  <c r="C92" i="2"/>
  <c r="C64" i="2"/>
  <c r="C56" i="2"/>
  <c r="C51" i="2"/>
  <c r="B130" i="7"/>
  <c r="B129" i="7"/>
  <c r="B128" i="7"/>
  <c r="B121" i="7"/>
  <c r="B120" i="7"/>
  <c r="B119" i="7"/>
  <c r="B118" i="7"/>
  <c r="B104" i="7"/>
  <c r="B103" i="7"/>
  <c r="C95" i="2" l="1"/>
  <c r="E14" i="2" s="1"/>
  <c r="D184" i="6"/>
  <c r="D183" i="6"/>
  <c r="D141" i="6"/>
  <c r="D119" i="6"/>
  <c r="D130" i="6"/>
  <c r="D86" i="6"/>
  <c r="D108" i="6"/>
  <c r="D97" i="6"/>
  <c r="D103" i="7"/>
  <c r="E13" i="9"/>
  <c r="F13" i="9" s="1"/>
  <c r="H13" i="9" s="1"/>
  <c r="E10" i="9"/>
  <c r="F10" i="9" s="1"/>
  <c r="H10" i="9" s="1"/>
  <c r="D45" i="3"/>
  <c r="B7" i="7" s="1"/>
  <c r="E30" i="9" s="1"/>
  <c r="F30" i="9" s="1"/>
  <c r="H30" i="9" s="1"/>
  <c r="E7" i="3"/>
  <c r="C94" i="3"/>
  <c r="D8" i="3"/>
  <c r="E17" i="3"/>
  <c r="E16" i="3"/>
  <c r="E88" i="3"/>
  <c r="E33" i="3"/>
  <c r="E13" i="3"/>
  <c r="E151" i="6"/>
  <c r="K102" i="2"/>
  <c r="G6" i="4"/>
  <c r="K101" i="2"/>
  <c r="F6" i="4"/>
  <c r="F7" i="4" s="1"/>
  <c r="F8" i="4" s="1"/>
  <c r="K100" i="2"/>
  <c r="E6" i="4"/>
  <c r="E163" i="6"/>
  <c r="E162" i="6"/>
  <c r="D163" i="6"/>
  <c r="D162" i="6"/>
  <c r="D152" i="6"/>
  <c r="D154" i="6" s="1"/>
  <c r="H45" i="6"/>
  <c r="F53" i="6"/>
  <c r="F47" i="6"/>
  <c r="E53" i="6"/>
  <c r="F75" i="6" s="1"/>
  <c r="E47" i="6"/>
  <c r="G45" i="6"/>
  <c r="D47" i="6"/>
  <c r="D53" i="6"/>
  <c r="F74" i="6" s="1"/>
  <c r="E33" i="4"/>
  <c r="E59" i="4" s="1"/>
  <c r="H31" i="4"/>
  <c r="D33" i="4"/>
  <c r="H26" i="4"/>
  <c r="D7" i="4"/>
  <c r="P123" i="6"/>
  <c r="P83" i="3"/>
  <c r="P156" i="6"/>
  <c r="P90" i="6"/>
  <c r="O123" i="6"/>
  <c r="O90" i="6"/>
  <c r="O156" i="6"/>
  <c r="O83" i="3"/>
  <c r="N123" i="6"/>
  <c r="N83" i="3"/>
  <c r="N90" i="6"/>
  <c r="N156" i="6"/>
  <c r="M90" i="6"/>
  <c r="M83" i="3"/>
  <c r="M123" i="6"/>
  <c r="M156" i="6"/>
  <c r="L156" i="6"/>
  <c r="L123" i="6"/>
  <c r="L90" i="6"/>
  <c r="L83" i="3"/>
  <c r="K156" i="6"/>
  <c r="K83" i="3"/>
  <c r="K123" i="6"/>
  <c r="K90" i="6"/>
  <c r="J156" i="6"/>
  <c r="J83" i="3"/>
  <c r="J90" i="6"/>
  <c r="J123" i="6"/>
  <c r="I156" i="6"/>
  <c r="I83" i="3"/>
  <c r="I123" i="6"/>
  <c r="I90" i="6"/>
  <c r="H156" i="6"/>
  <c r="H90" i="6"/>
  <c r="H83" i="3"/>
  <c r="H123" i="6"/>
  <c r="G156" i="6"/>
  <c r="G90" i="6"/>
  <c r="G83" i="3"/>
  <c r="G123" i="6"/>
  <c r="F156" i="6"/>
  <c r="F90" i="6"/>
  <c r="F83" i="3"/>
  <c r="F123" i="6"/>
  <c r="E156" i="6"/>
  <c r="E83" i="3"/>
  <c r="E90" i="6"/>
  <c r="E123" i="6"/>
  <c r="Q76" i="3"/>
  <c r="D83" i="3"/>
  <c r="D156" i="6"/>
  <c r="D90" i="6"/>
  <c r="R76" i="3"/>
  <c r="D123" i="6"/>
  <c r="P122" i="6"/>
  <c r="P82" i="3"/>
  <c r="P28" i="3"/>
  <c r="P155" i="6"/>
  <c r="P89" i="6"/>
  <c r="O28" i="3"/>
  <c r="O89" i="6"/>
  <c r="O82" i="3"/>
  <c r="O155" i="6"/>
  <c r="O122" i="6"/>
  <c r="N28" i="3"/>
  <c r="N122" i="6"/>
  <c r="N89" i="6"/>
  <c r="N155" i="6"/>
  <c r="N82" i="3"/>
  <c r="M89" i="6"/>
  <c r="M122" i="6"/>
  <c r="M155" i="6"/>
  <c r="M28" i="3"/>
  <c r="M82" i="3"/>
  <c r="L28" i="3"/>
  <c r="L89" i="6"/>
  <c r="L122" i="6"/>
  <c r="L82" i="3"/>
  <c r="L155" i="6"/>
  <c r="K89" i="6"/>
  <c r="K28" i="3"/>
  <c r="K82" i="3"/>
  <c r="K122" i="6"/>
  <c r="K155" i="6"/>
  <c r="J28" i="3"/>
  <c r="J122" i="6"/>
  <c r="J82" i="3"/>
  <c r="J155" i="6"/>
  <c r="J89" i="6"/>
  <c r="I155" i="6"/>
  <c r="I122" i="6"/>
  <c r="I89" i="6"/>
  <c r="I28" i="3"/>
  <c r="I82" i="3"/>
  <c r="H122" i="6"/>
  <c r="H28" i="3"/>
  <c r="H89" i="6"/>
  <c r="H155" i="6"/>
  <c r="H82" i="3"/>
  <c r="G122" i="6"/>
  <c r="G28" i="3"/>
  <c r="G89" i="6"/>
  <c r="G155" i="6"/>
  <c r="G82" i="3"/>
  <c r="F122" i="6"/>
  <c r="F28" i="3"/>
  <c r="F82" i="3"/>
  <c r="F89" i="6"/>
  <c r="F155" i="6"/>
  <c r="E28" i="3"/>
  <c r="E89" i="6"/>
  <c r="E82" i="3"/>
  <c r="E122" i="6"/>
  <c r="E155" i="6"/>
  <c r="E15" i="3"/>
  <c r="Q75" i="3"/>
  <c r="D28" i="3"/>
  <c r="D89" i="6"/>
  <c r="R75" i="3"/>
  <c r="D122" i="6"/>
  <c r="D82" i="3"/>
  <c r="D15" i="3"/>
  <c r="D155" i="6"/>
  <c r="P26" i="3"/>
  <c r="P81" i="3"/>
  <c r="O26" i="3"/>
  <c r="O81" i="3"/>
  <c r="N26" i="3"/>
  <c r="N81" i="3"/>
  <c r="M26" i="3"/>
  <c r="M81" i="3"/>
  <c r="L26" i="3"/>
  <c r="L81" i="3"/>
  <c r="L77" i="3"/>
  <c r="L27" i="3"/>
  <c r="K77" i="3"/>
  <c r="K27" i="3"/>
  <c r="K81" i="3"/>
  <c r="K26" i="3"/>
  <c r="J26" i="3"/>
  <c r="J77" i="3"/>
  <c r="J27" i="3"/>
  <c r="J81" i="3"/>
  <c r="I26" i="3"/>
  <c r="I27" i="3"/>
  <c r="I81" i="3"/>
  <c r="I77" i="3"/>
  <c r="H27" i="3"/>
  <c r="H26" i="3"/>
  <c r="H77" i="3"/>
  <c r="H81" i="3"/>
  <c r="G26" i="3"/>
  <c r="G77" i="3"/>
  <c r="G27" i="3"/>
  <c r="G81" i="3"/>
  <c r="G84" i="3" s="1"/>
  <c r="G87" i="3" s="1"/>
  <c r="F27" i="3"/>
  <c r="F77" i="3"/>
  <c r="F26" i="3"/>
  <c r="F81" i="3"/>
  <c r="F84" i="3" s="1"/>
  <c r="F87" i="3" s="1"/>
  <c r="E27" i="3"/>
  <c r="E77" i="3"/>
  <c r="E26" i="3"/>
  <c r="E81" i="3"/>
  <c r="E14" i="3"/>
  <c r="D81" i="3"/>
  <c r="D84" i="3" s="1"/>
  <c r="R74" i="3"/>
  <c r="D14" i="3"/>
  <c r="D18" i="3" s="1"/>
  <c r="D26" i="3"/>
  <c r="D27" i="3"/>
  <c r="Q74" i="3"/>
  <c r="D77" i="3"/>
  <c r="P80" i="3"/>
  <c r="P27" i="3"/>
  <c r="P29" i="3"/>
  <c r="P77" i="3"/>
  <c r="O77" i="3"/>
  <c r="O80" i="3"/>
  <c r="O29" i="3"/>
  <c r="O27" i="3"/>
  <c r="N80" i="3"/>
  <c r="N29" i="3"/>
  <c r="N27" i="3"/>
  <c r="N77" i="3"/>
  <c r="R73" i="3"/>
  <c r="M29" i="3"/>
  <c r="M27" i="3"/>
  <c r="M80" i="3"/>
  <c r="M77" i="3"/>
  <c r="Q73" i="3"/>
  <c r="D44" i="5" s="1"/>
  <c r="D45" i="5" s="1"/>
  <c r="E85" i="6"/>
  <c r="E118" i="6"/>
  <c r="F6" i="3"/>
  <c r="J103" i="2"/>
  <c r="K99" i="2"/>
  <c r="D96" i="6"/>
  <c r="D129" i="6"/>
  <c r="D49" i="6"/>
  <c r="F49" i="6"/>
  <c r="H49" i="6" s="1"/>
  <c r="E49" i="6"/>
  <c r="G49" i="6" s="1"/>
  <c r="D46" i="6"/>
  <c r="E46" i="6"/>
  <c r="G46" i="6" s="1"/>
  <c r="F46" i="6"/>
  <c r="H46" i="6" s="1"/>
  <c r="E174" i="6" l="1"/>
  <c r="E152" i="6"/>
  <c r="E154" i="6" s="1"/>
  <c r="R29" i="3"/>
  <c r="Q29" i="3"/>
  <c r="P84" i="3"/>
  <c r="P87" i="3" s="1"/>
  <c r="E18" i="3"/>
  <c r="K103" i="2"/>
  <c r="D121" i="6"/>
  <c r="D120" i="6"/>
  <c r="D88" i="6"/>
  <c r="D87" i="6"/>
  <c r="E8" i="3"/>
  <c r="F7" i="3"/>
  <c r="E184" i="6"/>
  <c r="E183" i="6"/>
  <c r="D70" i="3"/>
  <c r="D68" i="3"/>
  <c r="D30" i="3" s="1"/>
  <c r="D69" i="3"/>
  <c r="D32" i="3" s="1"/>
  <c r="G7" i="4"/>
  <c r="G8" i="4" s="1"/>
  <c r="E7" i="4"/>
  <c r="H6" i="4"/>
  <c r="E19" i="9" s="1"/>
  <c r="F19" i="9" s="1"/>
  <c r="H19" i="9" s="1"/>
  <c r="E65" i="3"/>
  <c r="E67" i="3"/>
  <c r="E168" i="6" s="1"/>
  <c r="C95" i="3"/>
  <c r="B94" i="3"/>
  <c r="Q156" i="6"/>
  <c r="Q90" i="6"/>
  <c r="J84" i="3"/>
  <c r="J87" i="3" s="1"/>
  <c r="H84" i="3"/>
  <c r="H87" i="3" s="1"/>
  <c r="Q123" i="6"/>
  <c r="L84" i="3"/>
  <c r="L87" i="3" s="1"/>
  <c r="K84" i="3"/>
  <c r="K87" i="3" s="1"/>
  <c r="I84" i="3"/>
  <c r="I87" i="3" s="1"/>
  <c r="D66" i="3"/>
  <c r="D67" i="3"/>
  <c r="D65" i="3"/>
  <c r="E153" i="6"/>
  <c r="E171" i="6" s="1"/>
  <c r="D153" i="6"/>
  <c r="D171" i="6" s="1"/>
  <c r="H33" i="4"/>
  <c r="D59" i="4"/>
  <c r="H59" i="4" s="1"/>
  <c r="F55" i="4"/>
  <c r="F9" i="4"/>
  <c r="F14" i="4"/>
  <c r="F19" i="4"/>
  <c r="H19" i="4" s="1"/>
  <c r="D87" i="3"/>
  <c r="Q83" i="3"/>
  <c r="R83" i="3"/>
  <c r="E95" i="6"/>
  <c r="E128" i="6"/>
  <c r="E161" i="6"/>
  <c r="Q28" i="3"/>
  <c r="R28" i="3"/>
  <c r="Q89" i="6"/>
  <c r="D95" i="6"/>
  <c r="Q122" i="6"/>
  <c r="D128" i="6"/>
  <c r="Q82" i="3"/>
  <c r="R82" i="3"/>
  <c r="Q155" i="6"/>
  <c r="D161" i="6"/>
  <c r="Q81" i="3"/>
  <c r="R81" i="3"/>
  <c r="Q26" i="3"/>
  <c r="R26" i="3"/>
  <c r="Q27" i="3"/>
  <c r="R27" i="3"/>
  <c r="D160" i="6"/>
  <c r="D169" i="6"/>
  <c r="R77" i="3"/>
  <c r="Q77" i="3"/>
  <c r="E86" i="6"/>
  <c r="E96" i="6"/>
  <c r="E97" i="6"/>
  <c r="E108" i="6"/>
  <c r="E141" i="6"/>
  <c r="E119" i="6"/>
  <c r="E129" i="6"/>
  <c r="E130" i="6"/>
  <c r="G6" i="3"/>
  <c r="F13" i="3"/>
  <c r="F16" i="3"/>
  <c r="F17" i="3"/>
  <c r="F33" i="3"/>
  <c r="F85" i="6"/>
  <c r="F95" i="6" s="1"/>
  <c r="F118" i="6"/>
  <c r="F128" i="6" s="1"/>
  <c r="F88" i="3"/>
  <c r="F151" i="6"/>
  <c r="F161" i="6" s="1"/>
  <c r="B105" i="7"/>
  <c r="E84" i="3"/>
  <c r="O84" i="3"/>
  <c r="O87" i="3" s="1"/>
  <c r="N84" i="3"/>
  <c r="N87" i="3" s="1"/>
  <c r="M84" i="3"/>
  <c r="M87" i="3" s="1"/>
  <c r="H47" i="6"/>
  <c r="G47" i="6"/>
  <c r="D8" i="4"/>
  <c r="R80" i="3"/>
  <c r="Q80" i="3"/>
  <c r="F15" i="3"/>
  <c r="F14" i="3"/>
  <c r="E160" i="6" l="1"/>
  <c r="E169" i="6"/>
  <c r="D22" i="3"/>
  <c r="D23" i="3"/>
  <c r="E70" i="3"/>
  <c r="E68" i="3"/>
  <c r="E66" i="3"/>
  <c r="E69" i="3"/>
  <c r="F183" i="6"/>
  <c r="F184" i="6"/>
  <c r="D136" i="6"/>
  <c r="D127" i="6"/>
  <c r="D124" i="6"/>
  <c r="D125" i="6"/>
  <c r="D132" i="6" s="1"/>
  <c r="D126" i="6"/>
  <c r="D131" i="6" s="1"/>
  <c r="D137" i="6"/>
  <c r="D138" i="6"/>
  <c r="D103" i="6"/>
  <c r="D94" i="6"/>
  <c r="D91" i="6"/>
  <c r="D92" i="6"/>
  <c r="D99" i="6" s="1"/>
  <c r="D93" i="6"/>
  <c r="D98" i="6" s="1"/>
  <c r="D104" i="6"/>
  <c r="D105" i="6"/>
  <c r="F8" i="3"/>
  <c r="F70" i="3" s="1"/>
  <c r="G7" i="3"/>
  <c r="D133" i="6"/>
  <c r="D100" i="6"/>
  <c r="G16" i="4"/>
  <c r="H16" i="4" s="1"/>
  <c r="G55" i="4"/>
  <c r="G9" i="4"/>
  <c r="G15" i="4"/>
  <c r="G21" i="4" s="1"/>
  <c r="G57" i="4" s="1"/>
  <c r="E8" i="4"/>
  <c r="H8" i="4" s="1"/>
  <c r="D49" i="4" s="1"/>
  <c r="H7" i="4"/>
  <c r="B95" i="3"/>
  <c r="C96" i="3"/>
  <c r="D25" i="3"/>
  <c r="F21" i="4"/>
  <c r="F57" i="4" s="1"/>
  <c r="D34" i="3"/>
  <c r="D107" i="6"/>
  <c r="D173" i="6"/>
  <c r="D140" i="6"/>
  <c r="D31" i="3"/>
  <c r="D135" i="6"/>
  <c r="D168" i="6"/>
  <c r="D106" i="6"/>
  <c r="D172" i="6"/>
  <c r="D139" i="6"/>
  <c r="D102" i="6"/>
  <c r="D24" i="3"/>
  <c r="D35" i="3"/>
  <c r="D167" i="6"/>
  <c r="D134" i="6"/>
  <c r="D101" i="6"/>
  <c r="E157" i="6"/>
  <c r="E158" i="6"/>
  <c r="E165" i="6" s="1"/>
  <c r="E170" i="6"/>
  <c r="E159" i="6"/>
  <c r="D157" i="6"/>
  <c r="D158" i="6"/>
  <c r="D170" i="6"/>
  <c r="D159" i="6"/>
  <c r="D27" i="6"/>
  <c r="D40" i="6" s="1"/>
  <c r="E27" i="6"/>
  <c r="F27" i="6"/>
  <c r="D89" i="3"/>
  <c r="B12" i="7"/>
  <c r="E14" i="9"/>
  <c r="F14" i="9" s="1"/>
  <c r="H14" i="9" s="1"/>
  <c r="E24" i="3"/>
  <c r="E35" i="3"/>
  <c r="E25" i="3"/>
  <c r="E31" i="3"/>
  <c r="E88" i="6"/>
  <c r="E87" i="6"/>
  <c r="E121" i="6"/>
  <c r="E120" i="6"/>
  <c r="G14" i="3"/>
  <c r="G15" i="3"/>
  <c r="H6" i="3"/>
  <c r="G17" i="3"/>
  <c r="G13" i="3"/>
  <c r="G16" i="3"/>
  <c r="G33" i="3"/>
  <c r="G88" i="3"/>
  <c r="G85" i="6"/>
  <c r="G118" i="6"/>
  <c r="G151" i="6"/>
  <c r="B106" i="7"/>
  <c r="F18" i="3"/>
  <c r="F86" i="6"/>
  <c r="F96" i="6"/>
  <c r="F97" i="6"/>
  <c r="F108" i="6"/>
  <c r="F141" i="6"/>
  <c r="F119" i="6"/>
  <c r="F129" i="6"/>
  <c r="F130" i="6"/>
  <c r="F89" i="3"/>
  <c r="F21" i="3" s="1"/>
  <c r="F152" i="6"/>
  <c r="F162" i="6"/>
  <c r="F163" i="6"/>
  <c r="F174" i="6"/>
  <c r="D20" i="4"/>
  <c r="H20" i="4" s="1"/>
  <c r="D14" i="4"/>
  <c r="D55" i="4"/>
  <c r="D17" i="4"/>
  <c r="H17" i="4" s="1"/>
  <c r="D9" i="4"/>
  <c r="D10" i="4" s="1"/>
  <c r="F56" i="4"/>
  <c r="F10" i="4"/>
  <c r="E87" i="3"/>
  <c r="Q84" i="3"/>
  <c r="R84" i="3"/>
  <c r="E164" i="6" l="1"/>
  <c r="E133" i="6"/>
  <c r="E100" i="6"/>
  <c r="E23" i="3"/>
  <c r="E22" i="3"/>
  <c r="E101" i="6"/>
  <c r="E134" i="6"/>
  <c r="E173" i="6"/>
  <c r="E34" i="3"/>
  <c r="E172" i="6"/>
  <c r="E106" i="6"/>
  <c r="G183" i="6"/>
  <c r="G184" i="6"/>
  <c r="H7" i="3"/>
  <c r="G8" i="3"/>
  <c r="D28" i="6"/>
  <c r="D41" i="6" s="1"/>
  <c r="E28" i="6"/>
  <c r="F28" i="6"/>
  <c r="E89" i="3"/>
  <c r="E21" i="3" s="1"/>
  <c r="Q87" i="3"/>
  <c r="R87" i="3"/>
  <c r="G10" i="4"/>
  <c r="G56" i="4"/>
  <c r="E167" i="6"/>
  <c r="E30" i="3"/>
  <c r="E36" i="3" s="1"/>
  <c r="E39" i="3" s="1"/>
  <c r="E107" i="6"/>
  <c r="E140" i="6"/>
  <c r="E32" i="3"/>
  <c r="E139" i="6"/>
  <c r="G67" i="3"/>
  <c r="G68" i="3"/>
  <c r="G30" i="3" s="1"/>
  <c r="G66" i="3"/>
  <c r="G65" i="3"/>
  <c r="F68" i="3"/>
  <c r="F30" i="3" s="1"/>
  <c r="F66" i="3"/>
  <c r="F67" i="3"/>
  <c r="F25" i="3" s="1"/>
  <c r="F65" i="3"/>
  <c r="F69" i="3"/>
  <c r="F32" i="3" s="1"/>
  <c r="E18" i="4"/>
  <c r="H18" i="4" s="1"/>
  <c r="E15" i="4"/>
  <c r="H15" i="4" s="1"/>
  <c r="E14" i="4"/>
  <c r="E55" i="4"/>
  <c r="E9" i="4"/>
  <c r="H9" i="4" s="1"/>
  <c r="C97" i="3"/>
  <c r="B96" i="3"/>
  <c r="F133" i="6"/>
  <c r="F100" i="6"/>
  <c r="D165" i="6"/>
  <c r="D164" i="6"/>
  <c r="D142" i="6"/>
  <c r="D143" i="6" s="1"/>
  <c r="D109" i="6"/>
  <c r="G28" i="6"/>
  <c r="E41" i="6"/>
  <c r="G41" i="6" s="1"/>
  <c r="H28" i="6"/>
  <c r="F41" i="6"/>
  <c r="H41" i="6" s="1"/>
  <c r="G27" i="6"/>
  <c r="E40" i="6"/>
  <c r="G40" i="6" s="1"/>
  <c r="H27" i="6"/>
  <c r="F40" i="6"/>
  <c r="H40" i="6" s="1"/>
  <c r="D21" i="3"/>
  <c r="I7" i="3"/>
  <c r="H8" i="3"/>
  <c r="G70" i="3"/>
  <c r="F23" i="3"/>
  <c r="F22" i="3"/>
  <c r="E103" i="6"/>
  <c r="E102" i="6"/>
  <c r="E94" i="6"/>
  <c r="E105" i="6"/>
  <c r="E91" i="6"/>
  <c r="E92" i="6"/>
  <c r="E93" i="6"/>
  <c r="E104" i="6"/>
  <c r="E136" i="6"/>
  <c r="E127" i="6"/>
  <c r="E135" i="6"/>
  <c r="E138" i="6"/>
  <c r="E124" i="6"/>
  <c r="E125" i="6"/>
  <c r="E126" i="6"/>
  <c r="E137" i="6"/>
  <c r="H14" i="3"/>
  <c r="H15" i="3"/>
  <c r="I6" i="3"/>
  <c r="H13" i="3"/>
  <c r="H16" i="3"/>
  <c r="H17" i="3"/>
  <c r="H33" i="3"/>
  <c r="H85" i="6"/>
  <c r="H118" i="6"/>
  <c r="H88" i="3"/>
  <c r="H151" i="6"/>
  <c r="B107" i="7"/>
  <c r="G95" i="6"/>
  <c r="G86" i="6"/>
  <c r="G96" i="6"/>
  <c r="G97" i="6"/>
  <c r="G108" i="6"/>
  <c r="G128" i="6"/>
  <c r="G141" i="6"/>
  <c r="G119" i="6"/>
  <c r="G129" i="6"/>
  <c r="G130" i="6"/>
  <c r="G161" i="6"/>
  <c r="G152" i="6"/>
  <c r="G162" i="6"/>
  <c r="G163" i="6"/>
  <c r="G174" i="6"/>
  <c r="F88" i="6"/>
  <c r="F87" i="6"/>
  <c r="F121" i="6"/>
  <c r="F120" i="6"/>
  <c r="F154" i="6"/>
  <c r="F153" i="6"/>
  <c r="D21" i="4"/>
  <c r="D11" i="4"/>
  <c r="D22" i="4"/>
  <c r="D6" i="5"/>
  <c r="D25" i="6"/>
  <c r="E25" i="6"/>
  <c r="F25" i="6"/>
  <c r="D56" i="4"/>
  <c r="E49" i="4"/>
  <c r="F49" i="4"/>
  <c r="F50" i="4" s="1"/>
  <c r="I33" i="4"/>
  <c r="G49" i="4"/>
  <c r="G50" i="4" s="1"/>
  <c r="I6" i="4"/>
  <c r="I7" i="4"/>
  <c r="I43" i="4"/>
  <c r="I8" i="4"/>
  <c r="E17" i="9"/>
  <c r="F17" i="9" s="1"/>
  <c r="H17" i="9" s="1"/>
  <c r="D50" i="4"/>
  <c r="F22" i="4"/>
  <c r="F11" i="4"/>
  <c r="G18" i="3"/>
  <c r="G89" i="3"/>
  <c r="G21" i="3" s="1"/>
  <c r="H183" i="6" l="1"/>
  <c r="H184" i="6"/>
  <c r="G69" i="3"/>
  <c r="F182" i="6"/>
  <c r="G22" i="4"/>
  <c r="G11" i="4"/>
  <c r="G34" i="3"/>
  <c r="G107" i="6"/>
  <c r="G140" i="6"/>
  <c r="G173" i="6"/>
  <c r="F24" i="3"/>
  <c r="F35" i="3"/>
  <c r="E50" i="4"/>
  <c r="H50" i="4" s="1"/>
  <c r="H49" i="4"/>
  <c r="E56" i="4"/>
  <c r="H56" i="4" s="1"/>
  <c r="E10" i="4"/>
  <c r="F34" i="3"/>
  <c r="F107" i="6"/>
  <c r="F173" i="6"/>
  <c r="F140" i="6"/>
  <c r="F172" i="6"/>
  <c r="F106" i="6"/>
  <c r="F139" i="6"/>
  <c r="F31" i="3"/>
  <c r="F101" i="6"/>
  <c r="F134" i="6"/>
  <c r="F167" i="6"/>
  <c r="E21" i="4"/>
  <c r="E57" i="4" s="1"/>
  <c r="H14" i="4"/>
  <c r="E26" i="6"/>
  <c r="D26" i="6"/>
  <c r="D39" i="6" s="1"/>
  <c r="F26" i="6"/>
  <c r="F30" i="6" s="1"/>
  <c r="H55" i="4"/>
  <c r="H66" i="3"/>
  <c r="H68" i="3"/>
  <c r="H30" i="3" s="1"/>
  <c r="H65" i="3"/>
  <c r="H69" i="3"/>
  <c r="H32" i="3" s="1"/>
  <c r="H67" i="3"/>
  <c r="C98" i="3"/>
  <c r="B97" i="3"/>
  <c r="I185" i="6"/>
  <c r="D110" i="6"/>
  <c r="I183" i="6"/>
  <c r="I184" i="6"/>
  <c r="G100" i="6"/>
  <c r="G133" i="6"/>
  <c r="D145" i="6"/>
  <c r="D112" i="6"/>
  <c r="D36" i="3"/>
  <c r="J7" i="3"/>
  <c r="I8" i="3"/>
  <c r="H70" i="3"/>
  <c r="G24" i="3"/>
  <c r="G35" i="3"/>
  <c r="G25" i="3"/>
  <c r="G31" i="3"/>
  <c r="G23" i="3"/>
  <c r="G22" i="3"/>
  <c r="F36" i="3"/>
  <c r="F39" i="3" s="1"/>
  <c r="E99" i="6"/>
  <c r="E98" i="6"/>
  <c r="E132" i="6"/>
  <c r="E131" i="6"/>
  <c r="I14" i="3"/>
  <c r="I15" i="3"/>
  <c r="J6" i="3"/>
  <c r="I16" i="3"/>
  <c r="I17" i="3"/>
  <c r="I13" i="3"/>
  <c r="I33" i="3"/>
  <c r="I85" i="6"/>
  <c r="I88" i="3"/>
  <c r="I118" i="6"/>
  <c r="I151" i="6"/>
  <c r="B108" i="7"/>
  <c r="H95" i="6"/>
  <c r="H86" i="6"/>
  <c r="H96" i="6"/>
  <c r="H97" i="6"/>
  <c r="H108" i="6"/>
  <c r="H128" i="6"/>
  <c r="H141" i="6"/>
  <c r="H119" i="6"/>
  <c r="H129" i="6"/>
  <c r="H130" i="6"/>
  <c r="H140" i="6"/>
  <c r="H161" i="6"/>
  <c r="H152" i="6"/>
  <c r="H162" i="6"/>
  <c r="H163" i="6"/>
  <c r="H173" i="6"/>
  <c r="H174" i="6"/>
  <c r="G88" i="6"/>
  <c r="G87" i="6"/>
  <c r="G101" i="6"/>
  <c r="G121" i="6"/>
  <c r="G120" i="6"/>
  <c r="G134" i="6"/>
  <c r="G154" i="6"/>
  <c r="G153" i="6"/>
  <c r="G167" i="6"/>
  <c r="F103" i="6"/>
  <c r="F102" i="6"/>
  <c r="F94" i="6"/>
  <c r="F105" i="6"/>
  <c r="F91" i="6"/>
  <c r="F92" i="6"/>
  <c r="F99" i="6" s="1"/>
  <c r="F93" i="6"/>
  <c r="F98" i="6" s="1"/>
  <c r="F104" i="6"/>
  <c r="F136" i="6"/>
  <c r="F127" i="6"/>
  <c r="F135" i="6"/>
  <c r="F138" i="6"/>
  <c r="F124" i="6"/>
  <c r="F125" i="6"/>
  <c r="F132" i="6" s="1"/>
  <c r="F126" i="6"/>
  <c r="F137" i="6"/>
  <c r="F169" i="6"/>
  <c r="F168" i="6"/>
  <c r="F160" i="6"/>
  <c r="F171" i="6"/>
  <c r="F157" i="6"/>
  <c r="F158" i="6"/>
  <c r="F170" i="6"/>
  <c r="F159" i="6"/>
  <c r="H21" i="4"/>
  <c r="I21" i="4" s="1"/>
  <c r="D57" i="4"/>
  <c r="H57" i="4" s="1"/>
  <c r="D34" i="4"/>
  <c r="D58" i="4"/>
  <c r="D23" i="4"/>
  <c r="D14" i="5"/>
  <c r="D34" i="5"/>
  <c r="D12" i="5"/>
  <c r="D13" i="5"/>
  <c r="D29" i="6"/>
  <c r="D30" i="6"/>
  <c r="D31" i="6" s="1"/>
  <c r="D38" i="6"/>
  <c r="D42" i="6" s="1"/>
  <c r="D54" i="6"/>
  <c r="G25" i="6"/>
  <c r="E29" i="6"/>
  <c r="E30" i="6"/>
  <c r="E38" i="6"/>
  <c r="E54" i="6"/>
  <c r="H25" i="6"/>
  <c r="F29" i="6"/>
  <c r="F38" i="6"/>
  <c r="F54" i="6"/>
  <c r="D7" i="5"/>
  <c r="D8" i="5" s="1"/>
  <c r="E18" i="9"/>
  <c r="F18" i="9" s="1"/>
  <c r="H18" i="9" s="1"/>
  <c r="I9" i="4"/>
  <c r="F34" i="4"/>
  <c r="F58" i="4"/>
  <c r="C120" i="7" s="1"/>
  <c r="F23" i="4"/>
  <c r="B22" i="8" s="1"/>
  <c r="E39" i="6"/>
  <c r="G39" i="6" s="1"/>
  <c r="G26" i="6"/>
  <c r="F39" i="6"/>
  <c r="H39" i="6" s="1"/>
  <c r="H26" i="6"/>
  <c r="H18" i="3"/>
  <c r="H89" i="3"/>
  <c r="J185" i="6" l="1"/>
  <c r="G32" i="3"/>
  <c r="G172" i="6"/>
  <c r="G106" i="6"/>
  <c r="G139" i="6"/>
  <c r="H185" i="6"/>
  <c r="H166" i="6" s="1"/>
  <c r="G185" i="6"/>
  <c r="G166" i="6" s="1"/>
  <c r="F185" i="6"/>
  <c r="F166" i="6" s="1"/>
  <c r="E185" i="6"/>
  <c r="E166" i="6" s="1"/>
  <c r="E175" i="6" s="1"/>
  <c r="E176" i="6" s="1"/>
  <c r="D185" i="6"/>
  <c r="D166" i="6" s="1"/>
  <c r="D175" i="6" s="1"/>
  <c r="D176" i="6" s="1"/>
  <c r="D178" i="6" s="1"/>
  <c r="G29" i="6"/>
  <c r="G23" i="4"/>
  <c r="B19" i="8" s="1"/>
  <c r="G34" i="4"/>
  <c r="G58" i="4"/>
  <c r="C121" i="7" s="1"/>
  <c r="H52" i="4"/>
  <c r="E21" i="9"/>
  <c r="F21" i="9" s="1"/>
  <c r="H21" i="9" s="1"/>
  <c r="G36" i="3"/>
  <c r="G39" i="3" s="1"/>
  <c r="F131" i="6"/>
  <c r="H34" i="3"/>
  <c r="H107" i="6"/>
  <c r="E22" i="4"/>
  <c r="H10" i="4"/>
  <c r="E11" i="4"/>
  <c r="H29" i="6"/>
  <c r="B98" i="3"/>
  <c r="J183" i="6"/>
  <c r="J184" i="6"/>
  <c r="I67" i="3"/>
  <c r="I69" i="3"/>
  <c r="I32" i="3" s="1"/>
  <c r="I68" i="3"/>
  <c r="I30" i="3" s="1"/>
  <c r="I66" i="3"/>
  <c r="I107" i="6" s="1"/>
  <c r="I65" i="3"/>
  <c r="H100" i="6"/>
  <c r="H133" i="6"/>
  <c r="E144" i="6"/>
  <c r="D146" i="6"/>
  <c r="E111" i="6"/>
  <c r="D113" i="6"/>
  <c r="D39" i="3"/>
  <c r="K7" i="3"/>
  <c r="J8" i="3"/>
  <c r="I70" i="3"/>
  <c r="H24" i="3"/>
  <c r="H35" i="3"/>
  <c r="H25" i="3"/>
  <c r="H172" i="6"/>
  <c r="H106" i="6"/>
  <c r="H139" i="6"/>
  <c r="H31" i="3"/>
  <c r="H23" i="3"/>
  <c r="H22" i="3"/>
  <c r="E109" i="6"/>
  <c r="E110" i="6" s="1"/>
  <c r="E142" i="6"/>
  <c r="E143" i="6" s="1"/>
  <c r="J14" i="3"/>
  <c r="J15" i="3"/>
  <c r="K6" i="3"/>
  <c r="J13" i="3"/>
  <c r="J16" i="3"/>
  <c r="J17" i="3"/>
  <c r="J33" i="3"/>
  <c r="J85" i="6"/>
  <c r="J88" i="3"/>
  <c r="J118" i="6"/>
  <c r="J151" i="6"/>
  <c r="B109" i="7"/>
  <c r="I95" i="6"/>
  <c r="I86" i="6"/>
  <c r="I96" i="6"/>
  <c r="I97" i="6"/>
  <c r="I108" i="6"/>
  <c r="I128" i="6"/>
  <c r="I119" i="6"/>
  <c r="I129" i="6"/>
  <c r="I130" i="6"/>
  <c r="I141" i="6"/>
  <c r="I161" i="6"/>
  <c r="I152" i="6"/>
  <c r="I162" i="6"/>
  <c r="I163" i="6"/>
  <c r="I174" i="6"/>
  <c r="H88" i="6"/>
  <c r="H87" i="6"/>
  <c r="H101" i="6"/>
  <c r="H121" i="6"/>
  <c r="H120" i="6"/>
  <c r="H134" i="6"/>
  <c r="H154" i="6"/>
  <c r="H153" i="6"/>
  <c r="H167" i="6"/>
  <c r="G103" i="6"/>
  <c r="G102" i="6"/>
  <c r="G94" i="6"/>
  <c r="G105" i="6"/>
  <c r="G91" i="6"/>
  <c r="G92" i="6"/>
  <c r="G93" i="6"/>
  <c r="G104" i="6"/>
  <c r="G136" i="6"/>
  <c r="G127" i="6"/>
  <c r="G135" i="6"/>
  <c r="G138" i="6"/>
  <c r="G124" i="6"/>
  <c r="G125" i="6"/>
  <c r="G126" i="6"/>
  <c r="G137" i="6"/>
  <c r="G169" i="6"/>
  <c r="G168" i="6"/>
  <c r="G160" i="6"/>
  <c r="G171" i="6"/>
  <c r="G157" i="6"/>
  <c r="G158" i="6"/>
  <c r="G165" i="6" s="1"/>
  <c r="G170" i="6"/>
  <c r="G159" i="6"/>
  <c r="F165" i="6"/>
  <c r="F164" i="6"/>
  <c r="D35" i="4"/>
  <c r="D51" i="4"/>
  <c r="D60" i="4"/>
  <c r="C118" i="7"/>
  <c r="F6" i="5"/>
  <c r="C124" i="7"/>
  <c r="D9" i="5"/>
  <c r="D43" i="6"/>
  <c r="D48" i="6"/>
  <c r="D50" i="6" s="1"/>
  <c r="G30" i="6"/>
  <c r="E31" i="6"/>
  <c r="G31" i="6" s="1"/>
  <c r="G38" i="6"/>
  <c r="E42" i="6"/>
  <c r="H30" i="6"/>
  <c r="F31" i="6"/>
  <c r="H31" i="6" s="1"/>
  <c r="H38" i="6"/>
  <c r="F42" i="6"/>
  <c r="F35" i="4"/>
  <c r="F51" i="4"/>
  <c r="F60" i="4"/>
  <c r="D120" i="7" s="1"/>
  <c r="H21" i="3"/>
  <c r="F109" i="6"/>
  <c r="F110" i="6" s="1"/>
  <c r="F142" i="6"/>
  <c r="D15" i="5"/>
  <c r="I18" i="3"/>
  <c r="I89" i="3"/>
  <c r="I21" i="3" s="1"/>
  <c r="G51" i="4" l="1"/>
  <c r="G35" i="4"/>
  <c r="G60" i="4"/>
  <c r="D121" i="7" s="1"/>
  <c r="F143" i="6"/>
  <c r="E34" i="4"/>
  <c r="E23" i="4"/>
  <c r="B16" i="8" s="1"/>
  <c r="E58" i="4"/>
  <c r="H22" i="4"/>
  <c r="H11" i="4"/>
  <c r="F12" i="7" s="1"/>
  <c r="I10" i="4"/>
  <c r="K184" i="6"/>
  <c r="K183" i="6"/>
  <c r="K185" i="6"/>
  <c r="J65" i="3"/>
  <c r="J67" i="3"/>
  <c r="J66" i="3"/>
  <c r="J69" i="3"/>
  <c r="J32" i="3" s="1"/>
  <c r="J68" i="3"/>
  <c r="J30" i="3" s="1"/>
  <c r="I166" i="6"/>
  <c r="I133" i="6"/>
  <c r="I100" i="6"/>
  <c r="D16" i="5"/>
  <c r="D17" i="5"/>
  <c r="E145" i="6"/>
  <c r="D179" i="6"/>
  <c r="E177" i="6"/>
  <c r="E178" i="6" s="1"/>
  <c r="E146" i="6"/>
  <c r="F144" i="6"/>
  <c r="D40" i="3"/>
  <c r="L7" i="3"/>
  <c r="K8" i="3"/>
  <c r="J70" i="3"/>
  <c r="I24" i="3"/>
  <c r="I35" i="3"/>
  <c r="I25" i="3"/>
  <c r="I172" i="6"/>
  <c r="I106" i="6"/>
  <c r="I139" i="6"/>
  <c r="I31" i="3"/>
  <c r="I23" i="3"/>
  <c r="I22" i="3"/>
  <c r="H36" i="3"/>
  <c r="K14" i="3"/>
  <c r="K15" i="3"/>
  <c r="L6" i="3"/>
  <c r="K16" i="3"/>
  <c r="K17" i="3"/>
  <c r="K13" i="3"/>
  <c r="K33" i="3"/>
  <c r="K88" i="3"/>
  <c r="K89" i="3" s="1"/>
  <c r="K21" i="3" s="1"/>
  <c r="K85" i="6"/>
  <c r="K118" i="6"/>
  <c r="K151" i="6"/>
  <c r="B110" i="7"/>
  <c r="J95" i="6"/>
  <c r="J86" i="6"/>
  <c r="J96" i="6"/>
  <c r="J97" i="6"/>
  <c r="J108" i="6"/>
  <c r="J128" i="6"/>
  <c r="J119" i="6"/>
  <c r="J129" i="6"/>
  <c r="J130" i="6"/>
  <c r="J141" i="6"/>
  <c r="J161" i="6"/>
  <c r="J152" i="6"/>
  <c r="J162" i="6"/>
  <c r="J163" i="6"/>
  <c r="J174" i="6"/>
  <c r="I88" i="6"/>
  <c r="I87" i="6"/>
  <c r="I101" i="6"/>
  <c r="I121" i="6"/>
  <c r="I120" i="6"/>
  <c r="I134" i="6"/>
  <c r="I154" i="6"/>
  <c r="I153" i="6"/>
  <c r="I167" i="6"/>
  <c r="H103" i="6"/>
  <c r="H102" i="6"/>
  <c r="H94" i="6"/>
  <c r="H105" i="6"/>
  <c r="H91" i="6"/>
  <c r="H92" i="6"/>
  <c r="H93" i="6"/>
  <c r="H104" i="6"/>
  <c r="H136" i="6"/>
  <c r="H127" i="6"/>
  <c r="H135" i="6"/>
  <c r="H138" i="6"/>
  <c r="H124" i="6"/>
  <c r="H125" i="6"/>
  <c r="H126" i="6"/>
  <c r="H137" i="6"/>
  <c r="H169" i="6"/>
  <c r="H168" i="6"/>
  <c r="H160" i="6"/>
  <c r="H171" i="6"/>
  <c r="H157" i="6"/>
  <c r="H158" i="6"/>
  <c r="H170" i="6"/>
  <c r="H159" i="6"/>
  <c r="G99" i="6"/>
  <c r="G98" i="6"/>
  <c r="G132" i="6"/>
  <c r="G131" i="6"/>
  <c r="F175" i="6"/>
  <c r="F176" i="6"/>
  <c r="D118" i="7"/>
  <c r="C52" i="5"/>
  <c r="C53" i="5"/>
  <c r="C58" i="5"/>
  <c r="C59" i="5"/>
  <c r="C60" i="5"/>
  <c r="C51" i="5"/>
  <c r="D51" i="6"/>
  <c r="F72" i="6"/>
  <c r="G42" i="6"/>
  <c r="E43" i="6"/>
  <c r="G43" i="6" s="1"/>
  <c r="E48" i="6"/>
  <c r="H42" i="6"/>
  <c r="F43" i="6"/>
  <c r="H43" i="6" s="1"/>
  <c r="F48" i="6"/>
  <c r="G175" i="6"/>
  <c r="G164" i="6"/>
  <c r="G176" i="6" s="1"/>
  <c r="E112" i="6"/>
  <c r="J18" i="3"/>
  <c r="I34" i="3"/>
  <c r="I140" i="6"/>
  <c r="I173" i="6"/>
  <c r="J89" i="3"/>
  <c r="F145" i="6" l="1"/>
  <c r="K66" i="3"/>
  <c r="K67" i="3"/>
  <c r="K65" i="3"/>
  <c r="K69" i="3"/>
  <c r="K32" i="3" s="1"/>
  <c r="K68" i="3"/>
  <c r="K30" i="3" s="1"/>
  <c r="E60" i="4"/>
  <c r="E51" i="4"/>
  <c r="H51" i="4" s="1"/>
  <c r="E35" i="4"/>
  <c r="H34" i="4"/>
  <c r="H58" i="4"/>
  <c r="C119" i="7"/>
  <c r="I22" i="4"/>
  <c r="H23" i="4"/>
  <c r="H98" i="6"/>
  <c r="F70" i="5"/>
  <c r="F67" i="5"/>
  <c r="D67" i="5"/>
  <c r="D70" i="5"/>
  <c r="F66" i="5"/>
  <c r="D66" i="5"/>
  <c r="I36" i="3"/>
  <c r="I39" i="3" s="1"/>
  <c r="D18" i="5"/>
  <c r="D28" i="5"/>
  <c r="E23" i="9"/>
  <c r="F23" i="9" s="1"/>
  <c r="H23" i="9" s="1"/>
  <c r="L184" i="6"/>
  <c r="L183" i="6"/>
  <c r="L185" i="6"/>
  <c r="J166" i="6"/>
  <c r="J133" i="6"/>
  <c r="J100" i="6"/>
  <c r="E179" i="6"/>
  <c r="F177" i="6"/>
  <c r="F178" i="6" s="1"/>
  <c r="E10" i="3"/>
  <c r="C103" i="7"/>
  <c r="D42" i="3"/>
  <c r="M7" i="3"/>
  <c r="L8" i="3"/>
  <c r="K70" i="3"/>
  <c r="J24" i="3"/>
  <c r="J35" i="3"/>
  <c r="J25" i="3"/>
  <c r="J172" i="6"/>
  <c r="J106" i="6"/>
  <c r="J139" i="6"/>
  <c r="J31" i="3"/>
  <c r="J23" i="3"/>
  <c r="J22" i="3"/>
  <c r="H39" i="3"/>
  <c r="L14" i="3"/>
  <c r="L15" i="3"/>
  <c r="M6" i="3"/>
  <c r="L13" i="3"/>
  <c r="L16" i="3"/>
  <c r="L17" i="3"/>
  <c r="L33" i="3"/>
  <c r="L85" i="6"/>
  <c r="L88" i="3"/>
  <c r="L118" i="6"/>
  <c r="L151" i="6"/>
  <c r="B111" i="7"/>
  <c r="K95" i="6"/>
  <c r="K86" i="6"/>
  <c r="K96" i="6"/>
  <c r="K97" i="6"/>
  <c r="K108" i="6"/>
  <c r="K128" i="6"/>
  <c r="K119" i="6"/>
  <c r="K129" i="6"/>
  <c r="K130" i="6"/>
  <c r="K141" i="6"/>
  <c r="K161" i="6"/>
  <c r="K152" i="6"/>
  <c r="K162" i="6"/>
  <c r="K163" i="6"/>
  <c r="K174" i="6"/>
  <c r="J88" i="6"/>
  <c r="J87" i="6"/>
  <c r="J101" i="6"/>
  <c r="J121" i="6"/>
  <c r="J120" i="6"/>
  <c r="J134" i="6"/>
  <c r="J154" i="6"/>
  <c r="J153" i="6"/>
  <c r="J167" i="6"/>
  <c r="I103" i="6"/>
  <c r="I102" i="6"/>
  <c r="I94" i="6"/>
  <c r="I105" i="6"/>
  <c r="I91" i="6"/>
  <c r="I92" i="6"/>
  <c r="I93" i="6"/>
  <c r="I104" i="6"/>
  <c r="I136" i="6"/>
  <c r="I127" i="6"/>
  <c r="I135" i="6"/>
  <c r="I138" i="6"/>
  <c r="I124" i="6"/>
  <c r="I125" i="6"/>
  <c r="I126" i="6"/>
  <c r="I137" i="6"/>
  <c r="I169" i="6"/>
  <c r="I168" i="6"/>
  <c r="I160" i="6"/>
  <c r="I171" i="6"/>
  <c r="I157" i="6"/>
  <c r="I158" i="6"/>
  <c r="I165" i="6" s="1"/>
  <c r="I170" i="6"/>
  <c r="I159" i="6"/>
  <c r="H165" i="6"/>
  <c r="H164" i="6"/>
  <c r="G109" i="6"/>
  <c r="G110" i="6" s="1"/>
  <c r="G142" i="6"/>
  <c r="G143" i="6" s="1"/>
  <c r="H52" i="5"/>
  <c r="G52" i="5"/>
  <c r="F52" i="5"/>
  <c r="D52" i="5"/>
  <c r="E52" i="5"/>
  <c r="H53" i="5"/>
  <c r="G53" i="5"/>
  <c r="F53" i="5"/>
  <c r="E53" i="5"/>
  <c r="D53" i="5"/>
  <c r="F58" i="5"/>
  <c r="G58" i="5"/>
  <c r="H58" i="5"/>
  <c r="D58" i="5"/>
  <c r="E58" i="5"/>
  <c r="E59" i="5"/>
  <c r="F59" i="5"/>
  <c r="G59" i="5"/>
  <c r="H59" i="5"/>
  <c r="D59" i="5"/>
  <c r="H60" i="5"/>
  <c r="F60" i="5"/>
  <c r="E60" i="5"/>
  <c r="D60" i="5"/>
  <c r="G60" i="5"/>
  <c r="H51" i="5"/>
  <c r="G51" i="5"/>
  <c r="D51" i="5"/>
  <c r="F51" i="5"/>
  <c r="E51" i="5"/>
  <c r="G48" i="6"/>
  <c r="E50" i="6"/>
  <c r="H48" i="6"/>
  <c r="F50" i="6"/>
  <c r="F111" i="6"/>
  <c r="E113" i="6"/>
  <c r="J21" i="3"/>
  <c r="K18" i="3"/>
  <c r="J34" i="3"/>
  <c r="J107" i="6"/>
  <c r="J173" i="6"/>
  <c r="J140" i="6"/>
  <c r="H99" i="6"/>
  <c r="H109" i="6" s="1"/>
  <c r="H132" i="6"/>
  <c r="H142" i="6" s="1"/>
  <c r="H131" i="6"/>
  <c r="I175" i="6" l="1"/>
  <c r="G70" i="5"/>
  <c r="F146" i="6"/>
  <c r="G144" i="6"/>
  <c r="G67" i="5"/>
  <c r="G66" i="5"/>
  <c r="K107" i="6"/>
  <c r="K140" i="6"/>
  <c r="H60" i="4"/>
  <c r="D119" i="7"/>
  <c r="H35" i="4"/>
  <c r="H45" i="4"/>
  <c r="I34" i="4"/>
  <c r="H110" i="6"/>
  <c r="L68" i="3"/>
  <c r="L30" i="3" s="1"/>
  <c r="L69" i="3"/>
  <c r="L32" i="3" s="1"/>
  <c r="L67" i="3"/>
  <c r="L66" i="3"/>
  <c r="L65" i="3"/>
  <c r="I164" i="6"/>
  <c r="I176" i="6" s="1"/>
  <c r="E25" i="9"/>
  <c r="F25" i="9" s="1"/>
  <c r="H25" i="9" s="1"/>
  <c r="F14" i="5"/>
  <c r="D39" i="5"/>
  <c r="D32" i="5"/>
  <c r="H14" i="5"/>
  <c r="E67" i="5"/>
  <c r="E69" i="5"/>
  <c r="E70" i="5"/>
  <c r="F68" i="5"/>
  <c r="D68" i="5"/>
  <c r="D69" i="5"/>
  <c r="J12" i="7"/>
  <c r="D29" i="5"/>
  <c r="D40" i="5"/>
  <c r="D41" i="5" s="1"/>
  <c r="E66" i="5"/>
  <c r="E68" i="5"/>
  <c r="F69" i="5"/>
  <c r="M184" i="6"/>
  <c r="M183" i="6"/>
  <c r="M185" i="6"/>
  <c r="K100" i="6"/>
  <c r="K133" i="6"/>
  <c r="K166" i="6"/>
  <c r="F112" i="6"/>
  <c r="H143" i="6"/>
  <c r="F179" i="6"/>
  <c r="G177" i="6"/>
  <c r="G178" i="6" s="1"/>
  <c r="E40" i="3"/>
  <c r="N7" i="3"/>
  <c r="M8" i="3"/>
  <c r="L70" i="3"/>
  <c r="K24" i="3"/>
  <c r="K35" i="3"/>
  <c r="K25" i="3"/>
  <c r="K172" i="6"/>
  <c r="K106" i="6"/>
  <c r="K139" i="6"/>
  <c r="K31" i="3"/>
  <c r="K23" i="3"/>
  <c r="K22" i="3"/>
  <c r="J36" i="3"/>
  <c r="M13" i="3"/>
  <c r="M14" i="3"/>
  <c r="M15" i="3"/>
  <c r="N6" i="3"/>
  <c r="M16" i="3"/>
  <c r="M17" i="3"/>
  <c r="M33" i="3"/>
  <c r="M88" i="3"/>
  <c r="M85" i="6"/>
  <c r="M118" i="6"/>
  <c r="M151" i="6"/>
  <c r="B112" i="7"/>
  <c r="L18" i="3"/>
  <c r="L95" i="6"/>
  <c r="L86" i="6"/>
  <c r="L96" i="6"/>
  <c r="L97" i="6"/>
  <c r="L108" i="6"/>
  <c r="L89" i="3"/>
  <c r="L128" i="6"/>
  <c r="L119" i="6"/>
  <c r="L129" i="6"/>
  <c r="L130" i="6"/>
  <c r="L141" i="6"/>
  <c r="L161" i="6"/>
  <c r="L152" i="6"/>
  <c r="L162" i="6"/>
  <c r="L163" i="6"/>
  <c r="L174" i="6"/>
  <c r="K88" i="6"/>
  <c r="K87" i="6"/>
  <c r="K101" i="6"/>
  <c r="K121" i="6"/>
  <c r="K120" i="6"/>
  <c r="K134" i="6"/>
  <c r="K154" i="6"/>
  <c r="K153" i="6"/>
  <c r="K167" i="6"/>
  <c r="J103" i="6"/>
  <c r="J102" i="6"/>
  <c r="J94" i="6"/>
  <c r="J105" i="6"/>
  <c r="J91" i="6"/>
  <c r="J92" i="6"/>
  <c r="J99" i="6" s="1"/>
  <c r="J93" i="6"/>
  <c r="J104" i="6"/>
  <c r="J136" i="6"/>
  <c r="J127" i="6"/>
  <c r="J135" i="6"/>
  <c r="J138" i="6"/>
  <c r="J124" i="6"/>
  <c r="J125" i="6"/>
  <c r="J132" i="6" s="1"/>
  <c r="J126" i="6"/>
  <c r="J131" i="6" s="1"/>
  <c r="J137" i="6"/>
  <c r="J169" i="6"/>
  <c r="J168" i="6"/>
  <c r="J160" i="6"/>
  <c r="J171" i="6"/>
  <c r="J157" i="6"/>
  <c r="J158" i="6"/>
  <c r="J170" i="6"/>
  <c r="J159" i="6"/>
  <c r="I98" i="6"/>
  <c r="H175" i="6"/>
  <c r="H176" i="6" s="1"/>
  <c r="G50" i="6"/>
  <c r="E51" i="6"/>
  <c r="G51" i="6" s="1"/>
  <c r="F73" i="6"/>
  <c r="F51" i="6"/>
  <c r="H51" i="6" s="1"/>
  <c r="F77" i="6"/>
  <c r="F78" i="6" s="1"/>
  <c r="H50" i="6"/>
  <c r="K34" i="3"/>
  <c r="K173" i="6"/>
  <c r="I99" i="6"/>
  <c r="I109" i="6" s="1"/>
  <c r="I132" i="6"/>
  <c r="I131" i="6"/>
  <c r="G145" i="6"/>
  <c r="G69" i="5" l="1"/>
  <c r="E22" i="9"/>
  <c r="F22" i="9" s="1"/>
  <c r="H22" i="9" s="1"/>
  <c r="H46" i="4"/>
  <c r="E20" i="9"/>
  <c r="F20" i="9" s="1"/>
  <c r="H20" i="9" s="1"/>
  <c r="I45" i="4"/>
  <c r="E34" i="9" s="1"/>
  <c r="F34" i="9" s="1"/>
  <c r="H34" i="9" s="1"/>
  <c r="G68" i="5"/>
  <c r="C13" i="8" s="1"/>
  <c r="F113" i="6"/>
  <c r="G111" i="6"/>
  <c r="G112" i="6" s="1"/>
  <c r="N13" i="7"/>
  <c r="E24" i="9"/>
  <c r="F24" i="9" s="1"/>
  <c r="H24" i="9" s="1"/>
  <c r="D46" i="5"/>
  <c r="C125" i="7"/>
  <c r="H6" i="5"/>
  <c r="D38" i="5"/>
  <c r="D37" i="5"/>
  <c r="F11" i="5" s="1"/>
  <c r="D35" i="5"/>
  <c r="D13" i="8"/>
  <c r="D33" i="5"/>
  <c r="N184" i="6"/>
  <c r="N183" i="6"/>
  <c r="N185" i="6"/>
  <c r="M67" i="3"/>
  <c r="M66" i="3"/>
  <c r="M65" i="3"/>
  <c r="M69" i="3"/>
  <c r="M32" i="3" s="1"/>
  <c r="M68" i="3"/>
  <c r="M30" i="3" s="1"/>
  <c r="L166" i="6"/>
  <c r="L133" i="6"/>
  <c r="L100" i="6"/>
  <c r="G179" i="6"/>
  <c r="H177" i="6"/>
  <c r="H178" i="6" s="1"/>
  <c r="E42" i="3"/>
  <c r="C104" i="7"/>
  <c r="F10" i="3"/>
  <c r="O7" i="3"/>
  <c r="N8" i="3"/>
  <c r="M70" i="3"/>
  <c r="L24" i="3"/>
  <c r="L35" i="3"/>
  <c r="L25" i="3"/>
  <c r="L172" i="6"/>
  <c r="L106" i="6"/>
  <c r="L139" i="6"/>
  <c r="L31" i="3"/>
  <c r="L23" i="3"/>
  <c r="L22" i="3"/>
  <c r="J39" i="3"/>
  <c r="N13" i="3"/>
  <c r="N14" i="3"/>
  <c r="N15" i="3"/>
  <c r="O6" i="3"/>
  <c r="N16" i="3"/>
  <c r="N17" i="3"/>
  <c r="N33" i="3"/>
  <c r="N85" i="6"/>
  <c r="N88" i="3"/>
  <c r="N118" i="6"/>
  <c r="N151" i="6"/>
  <c r="B113" i="7"/>
  <c r="M95" i="6"/>
  <c r="M86" i="6"/>
  <c r="M96" i="6"/>
  <c r="M97" i="6"/>
  <c r="M108" i="6"/>
  <c r="M128" i="6"/>
  <c r="M119" i="6"/>
  <c r="M129" i="6"/>
  <c r="M130" i="6"/>
  <c r="M141" i="6"/>
  <c r="M161" i="6"/>
  <c r="M152" i="6"/>
  <c r="M162" i="6"/>
  <c r="M163" i="6"/>
  <c r="M174" i="6"/>
  <c r="L88" i="6"/>
  <c r="L87" i="6"/>
  <c r="L101" i="6"/>
  <c r="L21" i="3"/>
  <c r="L121" i="6"/>
  <c r="L120" i="6"/>
  <c r="L134" i="6"/>
  <c r="L154" i="6"/>
  <c r="L153" i="6"/>
  <c r="L167" i="6"/>
  <c r="K103" i="6"/>
  <c r="K102" i="6"/>
  <c r="K94" i="6"/>
  <c r="K105" i="6"/>
  <c r="K91" i="6"/>
  <c r="K92" i="6"/>
  <c r="K93" i="6"/>
  <c r="K104" i="6"/>
  <c r="K136" i="6"/>
  <c r="K127" i="6"/>
  <c r="K135" i="6"/>
  <c r="K138" i="6"/>
  <c r="K124" i="6"/>
  <c r="K125" i="6"/>
  <c r="K126" i="6"/>
  <c r="K137" i="6"/>
  <c r="K169" i="6"/>
  <c r="K168" i="6"/>
  <c r="K160" i="6"/>
  <c r="K171" i="6"/>
  <c r="K157" i="6"/>
  <c r="K158" i="6"/>
  <c r="K165" i="6" s="1"/>
  <c r="K170" i="6"/>
  <c r="K159" i="6"/>
  <c r="K164" i="6" s="1"/>
  <c r="J109" i="6"/>
  <c r="J165" i="6"/>
  <c r="J164" i="6"/>
  <c r="I110" i="6"/>
  <c r="I142" i="6"/>
  <c r="H144" i="6"/>
  <c r="H145" i="6" s="1"/>
  <c r="G146" i="6"/>
  <c r="M18" i="3"/>
  <c r="J98" i="6"/>
  <c r="J142" i="6"/>
  <c r="J143" i="6" s="1"/>
  <c r="L34" i="3"/>
  <c r="L107" i="6"/>
  <c r="L140" i="6"/>
  <c r="L173" i="6"/>
  <c r="K36" i="3"/>
  <c r="K39" i="3" s="1"/>
  <c r="M89" i="3"/>
  <c r="M21" i="3" s="1"/>
  <c r="H111" i="6" l="1"/>
  <c r="G113" i="6"/>
  <c r="N12" i="7"/>
  <c r="E32" i="9" s="1"/>
  <c r="F32" i="9" s="1"/>
  <c r="H32" i="9" s="1"/>
  <c r="F10" i="5"/>
  <c r="D36" i="5"/>
  <c r="O184" i="6"/>
  <c r="O183" i="6"/>
  <c r="O185" i="6"/>
  <c r="N67" i="3"/>
  <c r="N65" i="3"/>
  <c r="N68" i="3"/>
  <c r="N30" i="3" s="1"/>
  <c r="N69" i="3"/>
  <c r="N32" i="3" s="1"/>
  <c r="N66" i="3"/>
  <c r="M133" i="6"/>
  <c r="M166" i="6"/>
  <c r="M100" i="6"/>
  <c r="H112" i="6"/>
  <c r="H179" i="6"/>
  <c r="I177" i="6"/>
  <c r="I178" i="6" s="1"/>
  <c r="F40" i="3"/>
  <c r="P7" i="3"/>
  <c r="O8" i="3"/>
  <c r="O69" i="3" s="1"/>
  <c r="N70" i="3"/>
  <c r="M24" i="3"/>
  <c r="M35" i="3"/>
  <c r="M25" i="3"/>
  <c r="M172" i="6"/>
  <c r="M106" i="6"/>
  <c r="M139" i="6"/>
  <c r="M31" i="3"/>
  <c r="M23" i="3"/>
  <c r="M22" i="3"/>
  <c r="O13" i="3"/>
  <c r="O14" i="3"/>
  <c r="O15" i="3"/>
  <c r="P6" i="3"/>
  <c r="O16" i="3"/>
  <c r="O17" i="3"/>
  <c r="O33" i="3"/>
  <c r="O85" i="6"/>
  <c r="O88" i="3"/>
  <c r="O89" i="3" s="1"/>
  <c r="O21" i="3" s="1"/>
  <c r="O118" i="6"/>
  <c r="O151" i="6"/>
  <c r="B114" i="7"/>
  <c r="N95" i="6"/>
  <c r="N86" i="6"/>
  <c r="N96" i="6"/>
  <c r="N97" i="6"/>
  <c r="N108" i="6"/>
  <c r="N128" i="6"/>
  <c r="N119" i="6"/>
  <c r="N129" i="6"/>
  <c r="N130" i="6"/>
  <c r="N141" i="6"/>
  <c r="N161" i="6"/>
  <c r="N152" i="6"/>
  <c r="N162" i="6"/>
  <c r="N163" i="6"/>
  <c r="N174" i="6"/>
  <c r="M87" i="6"/>
  <c r="M88" i="6"/>
  <c r="M101" i="6"/>
  <c r="M120" i="6"/>
  <c r="M121" i="6"/>
  <c r="M134" i="6"/>
  <c r="M153" i="6"/>
  <c r="M154" i="6"/>
  <c r="M167" i="6"/>
  <c r="L103" i="6"/>
  <c r="L102" i="6"/>
  <c r="L94" i="6"/>
  <c r="L105" i="6"/>
  <c r="L91" i="6"/>
  <c r="L92" i="6"/>
  <c r="L99" i="6" s="1"/>
  <c r="L93" i="6"/>
  <c r="L104" i="6"/>
  <c r="L36" i="3"/>
  <c r="L136" i="6"/>
  <c r="L127" i="6"/>
  <c r="L135" i="6"/>
  <c r="L138" i="6"/>
  <c r="L124" i="6"/>
  <c r="L125" i="6"/>
  <c r="L132" i="6" s="1"/>
  <c r="L126" i="6"/>
  <c r="L137" i="6"/>
  <c r="L169" i="6"/>
  <c r="L168" i="6"/>
  <c r="L160" i="6"/>
  <c r="L171" i="6"/>
  <c r="L157" i="6"/>
  <c r="L158" i="6"/>
  <c r="L159" i="6"/>
  <c r="L170" i="6"/>
  <c r="K99" i="6"/>
  <c r="K98" i="6"/>
  <c r="K132" i="6"/>
  <c r="K131" i="6"/>
  <c r="J175" i="6"/>
  <c r="J176" i="6" s="1"/>
  <c r="I143" i="6"/>
  <c r="H146" i="6"/>
  <c r="I144" i="6"/>
  <c r="K175" i="6"/>
  <c r="K176" i="6" s="1"/>
  <c r="N18" i="3"/>
  <c r="M34" i="3"/>
  <c r="M173" i="6"/>
  <c r="M107" i="6"/>
  <c r="M140" i="6"/>
  <c r="N89" i="3"/>
  <c r="J110" i="6"/>
  <c r="L131" i="6" l="1"/>
  <c r="L109" i="6"/>
  <c r="L142" i="6"/>
  <c r="L143" i="6" s="1"/>
  <c r="B13" i="8"/>
  <c r="H10" i="5"/>
  <c r="E35" i="9" s="1"/>
  <c r="F35" i="9" s="1"/>
  <c r="H35" i="9" s="1"/>
  <c r="B18" i="7"/>
  <c r="H113" i="6"/>
  <c r="I111" i="6"/>
  <c r="L98" i="6"/>
  <c r="L110" i="6" s="1"/>
  <c r="P8" i="3"/>
  <c r="P70" i="3" s="1"/>
  <c r="P66" i="3"/>
  <c r="P34" i="3" s="1"/>
  <c r="P65" i="3"/>
  <c r="P69" i="3"/>
  <c r="P185" i="6"/>
  <c r="P183" i="6"/>
  <c r="P184" i="6"/>
  <c r="O66" i="3"/>
  <c r="O68" i="3"/>
  <c r="O30" i="3" s="1"/>
  <c r="O65" i="3"/>
  <c r="O67" i="3"/>
  <c r="N100" i="6"/>
  <c r="N166" i="6"/>
  <c r="N133" i="6"/>
  <c r="I112" i="6"/>
  <c r="I145" i="6"/>
  <c r="I179" i="6"/>
  <c r="J177" i="6"/>
  <c r="J178" i="6" s="1"/>
  <c r="F42" i="3"/>
  <c r="C105" i="7"/>
  <c r="G10" i="3"/>
  <c r="O32" i="3"/>
  <c r="O70" i="3"/>
  <c r="N24" i="3"/>
  <c r="N35" i="3"/>
  <c r="N25" i="3"/>
  <c r="N172" i="6"/>
  <c r="N106" i="6"/>
  <c r="N139" i="6"/>
  <c r="N31" i="3"/>
  <c r="N23" i="3"/>
  <c r="N22" i="3"/>
  <c r="P13" i="3"/>
  <c r="P14" i="3"/>
  <c r="P15" i="3"/>
  <c r="P16" i="3"/>
  <c r="P17" i="3"/>
  <c r="P33" i="3"/>
  <c r="P88" i="3"/>
  <c r="P85" i="6"/>
  <c r="P118" i="6"/>
  <c r="P151" i="6"/>
  <c r="B115" i="7"/>
  <c r="O95" i="6"/>
  <c r="O86" i="6"/>
  <c r="O96" i="6"/>
  <c r="O97" i="6"/>
  <c r="O108" i="6"/>
  <c r="O128" i="6"/>
  <c r="O119" i="6"/>
  <c r="O129" i="6"/>
  <c r="O130" i="6"/>
  <c r="O141" i="6"/>
  <c r="O161" i="6"/>
  <c r="O152" i="6"/>
  <c r="O162" i="6"/>
  <c r="O163" i="6"/>
  <c r="O174" i="6"/>
  <c r="N87" i="6"/>
  <c r="N88" i="6"/>
  <c r="N101" i="6"/>
  <c r="N120" i="6"/>
  <c r="N121" i="6"/>
  <c r="N134" i="6"/>
  <c r="N153" i="6"/>
  <c r="N154" i="6"/>
  <c r="N167" i="6"/>
  <c r="M105" i="6"/>
  <c r="M104" i="6"/>
  <c r="M93" i="6"/>
  <c r="M92" i="6"/>
  <c r="M91" i="6"/>
  <c r="M103" i="6"/>
  <c r="M102" i="6"/>
  <c r="M94" i="6"/>
  <c r="M138" i="6"/>
  <c r="M137" i="6"/>
  <c r="M126" i="6"/>
  <c r="M125" i="6"/>
  <c r="M124" i="6"/>
  <c r="M136" i="6"/>
  <c r="M127" i="6"/>
  <c r="M135" i="6"/>
  <c r="M171" i="6"/>
  <c r="M170" i="6"/>
  <c r="M159" i="6"/>
  <c r="M158" i="6"/>
  <c r="M157" i="6"/>
  <c r="M169" i="6"/>
  <c r="M168" i="6"/>
  <c r="M160" i="6"/>
  <c r="L39" i="3"/>
  <c r="L165" i="6"/>
  <c r="L164" i="6"/>
  <c r="K109" i="6"/>
  <c r="K142" i="6"/>
  <c r="K143" i="6" s="1"/>
  <c r="N21" i="3"/>
  <c r="M36" i="3"/>
  <c r="M39" i="3" s="1"/>
  <c r="O18" i="3"/>
  <c r="N34" i="3"/>
  <c r="N107" i="6"/>
  <c r="N140" i="6"/>
  <c r="N173" i="6"/>
  <c r="I100" i="3" l="1"/>
  <c r="P166" i="6"/>
  <c r="P100" i="6"/>
  <c r="P133" i="6"/>
  <c r="P68" i="3"/>
  <c r="P30" i="3" s="1"/>
  <c r="P67" i="3"/>
  <c r="I113" i="6"/>
  <c r="J111" i="6"/>
  <c r="J112" i="6" s="1"/>
  <c r="I146" i="6"/>
  <c r="J144" i="6"/>
  <c r="J145" i="6" s="1"/>
  <c r="H98" i="3"/>
  <c r="E97" i="3"/>
  <c r="D97" i="3"/>
  <c r="F97" i="3"/>
  <c r="G97" i="3"/>
  <c r="H97" i="3"/>
  <c r="I97" i="3"/>
  <c r="G96" i="3"/>
  <c r="I96" i="3"/>
  <c r="H96" i="3"/>
  <c r="E96" i="3"/>
  <c r="F96" i="3"/>
  <c r="D96" i="3"/>
  <c r="F95" i="3"/>
  <c r="H95" i="3"/>
  <c r="D95" i="3"/>
  <c r="I95" i="3"/>
  <c r="E95" i="3"/>
  <c r="G95" i="3"/>
  <c r="H94" i="3"/>
  <c r="F94" i="3"/>
  <c r="G94" i="3"/>
  <c r="I94" i="3"/>
  <c r="D94" i="3"/>
  <c r="E94" i="3"/>
  <c r="G98" i="3"/>
  <c r="F98" i="3"/>
  <c r="E98" i="3"/>
  <c r="I98" i="3"/>
  <c r="D98" i="3"/>
  <c r="E100" i="3"/>
  <c r="G100" i="3"/>
  <c r="D100" i="3"/>
  <c r="H100" i="3"/>
  <c r="P32" i="3"/>
  <c r="O107" i="6"/>
  <c r="O140" i="6"/>
  <c r="O133" i="6"/>
  <c r="O100" i="6"/>
  <c r="O166" i="6"/>
  <c r="J179" i="6"/>
  <c r="K177" i="6"/>
  <c r="K178" i="6" s="1"/>
  <c r="G40" i="3"/>
  <c r="P24" i="3"/>
  <c r="P35" i="3"/>
  <c r="P23" i="3"/>
  <c r="P22" i="3"/>
  <c r="O24" i="3"/>
  <c r="O35" i="3"/>
  <c r="O25" i="3"/>
  <c r="O172" i="6"/>
  <c r="O106" i="6"/>
  <c r="O139" i="6"/>
  <c r="O31" i="3"/>
  <c r="O23" i="3"/>
  <c r="O22" i="3"/>
  <c r="N36" i="3"/>
  <c r="R13" i="3"/>
  <c r="Q13" i="3"/>
  <c r="P18" i="3"/>
  <c r="R14" i="3"/>
  <c r="Q14" i="3"/>
  <c r="Q15" i="3"/>
  <c r="R15" i="3"/>
  <c r="R16" i="3"/>
  <c r="Q16" i="3"/>
  <c r="Q17" i="3"/>
  <c r="R17" i="3"/>
  <c r="Q33" i="3"/>
  <c r="R33" i="3"/>
  <c r="R88" i="3"/>
  <c r="Q88" i="3"/>
  <c r="E15" i="9" s="1"/>
  <c r="F15" i="9" s="1"/>
  <c r="H15" i="9" s="1"/>
  <c r="P89" i="3"/>
  <c r="P95" i="6"/>
  <c r="Q95" i="6" s="1"/>
  <c r="P86" i="6"/>
  <c r="P96" i="6"/>
  <c r="Q96" i="6" s="1"/>
  <c r="P97" i="6"/>
  <c r="Q97" i="6" s="1"/>
  <c r="P107" i="6"/>
  <c r="P108" i="6"/>
  <c r="Q108" i="6" s="1"/>
  <c r="P128" i="6"/>
  <c r="Q128" i="6" s="1"/>
  <c r="P119" i="6"/>
  <c r="P129" i="6"/>
  <c r="Q129" i="6" s="1"/>
  <c r="P130" i="6"/>
  <c r="Q130" i="6" s="1"/>
  <c r="P140" i="6"/>
  <c r="P141" i="6"/>
  <c r="Q141" i="6" s="1"/>
  <c r="P161" i="6"/>
  <c r="Q161" i="6" s="1"/>
  <c r="P152" i="6"/>
  <c r="P162" i="6"/>
  <c r="Q162" i="6" s="1"/>
  <c r="P163" i="6"/>
  <c r="Q163" i="6" s="1"/>
  <c r="P173" i="6"/>
  <c r="P174" i="6"/>
  <c r="Q174" i="6" s="1"/>
  <c r="O87" i="6"/>
  <c r="O88" i="6"/>
  <c r="O101" i="6"/>
  <c r="O120" i="6"/>
  <c r="O121" i="6"/>
  <c r="O134" i="6"/>
  <c r="O153" i="6"/>
  <c r="O154" i="6"/>
  <c r="O167" i="6"/>
  <c r="N105" i="6"/>
  <c r="N104" i="6"/>
  <c r="N93" i="6"/>
  <c r="N92" i="6"/>
  <c r="N91" i="6"/>
  <c r="N103" i="6"/>
  <c r="N102" i="6"/>
  <c r="N94" i="6"/>
  <c r="N138" i="6"/>
  <c r="N137" i="6"/>
  <c r="N126" i="6"/>
  <c r="N125" i="6"/>
  <c r="N124" i="6"/>
  <c r="N136" i="6"/>
  <c r="N135" i="6"/>
  <c r="N127" i="6"/>
  <c r="N171" i="6"/>
  <c r="N170" i="6"/>
  <c r="N159" i="6"/>
  <c r="N158" i="6"/>
  <c r="N157" i="6"/>
  <c r="N169" i="6"/>
  <c r="N168" i="6"/>
  <c r="N160" i="6"/>
  <c r="M98" i="6"/>
  <c r="M99" i="6"/>
  <c r="M131" i="6"/>
  <c r="M132" i="6"/>
  <c r="L175" i="6"/>
  <c r="L176" i="6" s="1"/>
  <c r="K110" i="6"/>
  <c r="M164" i="6"/>
  <c r="O34" i="3"/>
  <c r="O173" i="6"/>
  <c r="M165" i="6"/>
  <c r="M175" i="6" s="1"/>
  <c r="F100" i="3" l="1"/>
  <c r="P25" i="3"/>
  <c r="P172" i="6"/>
  <c r="Q172" i="6" s="1"/>
  <c r="P106" i="6"/>
  <c r="Q106" i="6" s="1"/>
  <c r="P139" i="6"/>
  <c r="Q139" i="6" s="1"/>
  <c r="P31" i="3"/>
  <c r="J113" i="6"/>
  <c r="K111" i="6"/>
  <c r="K112" i="6" s="1"/>
  <c r="J146" i="6"/>
  <c r="K144" i="6"/>
  <c r="K145" i="6" s="1"/>
  <c r="H99" i="3"/>
  <c r="H101" i="3" s="1"/>
  <c r="Q107" i="6"/>
  <c r="Q140" i="6"/>
  <c r="Q30" i="3"/>
  <c r="R30" i="3"/>
  <c r="E40" i="9"/>
  <c r="F40" i="9" s="1"/>
  <c r="H40" i="9" s="1"/>
  <c r="D99" i="3"/>
  <c r="D101" i="3" s="1"/>
  <c r="G99" i="3"/>
  <c r="G101" i="3" s="1"/>
  <c r="F99" i="3"/>
  <c r="E99" i="3"/>
  <c r="E101" i="3" s="1"/>
  <c r="I99" i="3"/>
  <c r="I101" i="3" s="1"/>
  <c r="R32" i="3"/>
  <c r="Q32" i="3"/>
  <c r="Q34" i="3"/>
  <c r="R34" i="3"/>
  <c r="K179" i="6"/>
  <c r="L177" i="6"/>
  <c r="L178" i="6" s="1"/>
  <c r="G42" i="3"/>
  <c r="C106" i="7"/>
  <c r="H10" i="3"/>
  <c r="R35" i="3"/>
  <c r="Q35" i="3"/>
  <c r="N39" i="3"/>
  <c r="R89" i="3"/>
  <c r="Q89" i="3"/>
  <c r="P21" i="3"/>
  <c r="P87" i="6"/>
  <c r="Q87" i="6" s="1"/>
  <c r="P88" i="6"/>
  <c r="Q88" i="6" s="1"/>
  <c r="Q100" i="6"/>
  <c r="P101" i="6"/>
  <c r="Q101" i="6" s="1"/>
  <c r="P120" i="6"/>
  <c r="Q120" i="6" s="1"/>
  <c r="P121" i="6"/>
  <c r="Q121" i="6" s="1"/>
  <c r="Q133" i="6"/>
  <c r="P134" i="6"/>
  <c r="Q134" i="6" s="1"/>
  <c r="P153" i="6"/>
  <c r="P154" i="6"/>
  <c r="Q166" i="6"/>
  <c r="P167" i="6"/>
  <c r="Q167" i="6" s="1"/>
  <c r="O105" i="6"/>
  <c r="O104" i="6"/>
  <c r="O93" i="6"/>
  <c r="O92" i="6"/>
  <c r="O91" i="6"/>
  <c r="O103" i="6"/>
  <c r="O102" i="6"/>
  <c r="O94" i="6"/>
  <c r="O138" i="6"/>
  <c r="O137" i="6"/>
  <c r="O126" i="6"/>
  <c r="O125" i="6"/>
  <c r="O124" i="6"/>
  <c r="O136" i="6"/>
  <c r="O135" i="6"/>
  <c r="O127" i="6"/>
  <c r="O171" i="6"/>
  <c r="O170" i="6"/>
  <c r="O159" i="6"/>
  <c r="O158" i="6"/>
  <c r="O157" i="6"/>
  <c r="O169" i="6"/>
  <c r="O168" i="6"/>
  <c r="O160" i="6"/>
  <c r="N164" i="6"/>
  <c r="M109" i="6"/>
  <c r="M110" i="6" s="1"/>
  <c r="M142" i="6"/>
  <c r="M143" i="6" s="1"/>
  <c r="O36" i="3"/>
  <c r="N98" i="6"/>
  <c r="N131" i="6"/>
  <c r="Q173" i="6"/>
  <c r="Q23" i="3"/>
  <c r="R23" i="3"/>
  <c r="Q22" i="3"/>
  <c r="R22" i="3"/>
  <c r="Q24" i="3"/>
  <c r="R24" i="3"/>
  <c r="Q18" i="3"/>
  <c r="E41" i="9" s="1"/>
  <c r="F41" i="9" s="1"/>
  <c r="H41" i="9" s="1"/>
  <c r="R18" i="3"/>
  <c r="N99" i="6"/>
  <c r="N109" i="6" s="1"/>
  <c r="N132" i="6"/>
  <c r="N142" i="6" s="1"/>
  <c r="N165" i="6"/>
  <c r="M176" i="6"/>
  <c r="K113" i="6" l="1"/>
  <c r="L111" i="6"/>
  <c r="L112" i="6" s="1"/>
  <c r="K146" i="6"/>
  <c r="L144" i="6"/>
  <c r="L145" i="6" s="1"/>
  <c r="F101" i="3"/>
  <c r="R25" i="3"/>
  <c r="Q25" i="3"/>
  <c r="Q31" i="3"/>
  <c r="R31" i="3"/>
  <c r="E16" i="9"/>
  <c r="F16" i="9" s="1"/>
  <c r="H16" i="9" s="1"/>
  <c r="L179" i="6"/>
  <c r="M177" i="6"/>
  <c r="M178" i="6" s="1"/>
  <c r="H40" i="3"/>
  <c r="Q21" i="3"/>
  <c r="R21" i="3"/>
  <c r="P36" i="3"/>
  <c r="P105" i="6"/>
  <c r="Q105" i="6" s="1"/>
  <c r="P104" i="6"/>
  <c r="Q104" i="6" s="1"/>
  <c r="P93" i="6"/>
  <c r="P92" i="6"/>
  <c r="P91" i="6"/>
  <c r="Q91" i="6" s="1"/>
  <c r="D58" i="6" s="1"/>
  <c r="P103" i="6"/>
  <c r="Q103" i="6" s="1"/>
  <c r="P102" i="6"/>
  <c r="Q102" i="6" s="1"/>
  <c r="P94" i="6"/>
  <c r="Q94" i="6" s="1"/>
  <c r="P138" i="6"/>
  <c r="Q138" i="6" s="1"/>
  <c r="P137" i="6"/>
  <c r="Q137" i="6" s="1"/>
  <c r="P126" i="6"/>
  <c r="Q126" i="6" s="1"/>
  <c r="P125" i="6"/>
  <c r="P124" i="6"/>
  <c r="Q124" i="6" s="1"/>
  <c r="E58" i="6" s="1"/>
  <c r="G58" i="6" s="1"/>
  <c r="P136" i="6"/>
  <c r="Q136" i="6" s="1"/>
  <c r="P135" i="6"/>
  <c r="Q135" i="6" s="1"/>
  <c r="P127" i="6"/>
  <c r="Q127" i="6" s="1"/>
  <c r="Q153" i="6"/>
  <c r="P171" i="6"/>
  <c r="Q171" i="6" s="1"/>
  <c r="P170" i="6"/>
  <c r="Q170" i="6" s="1"/>
  <c r="P159" i="6"/>
  <c r="P158" i="6"/>
  <c r="P157" i="6"/>
  <c r="Q157" i="6" s="1"/>
  <c r="F58" i="6" s="1"/>
  <c r="H58" i="6" s="1"/>
  <c r="Q154" i="6"/>
  <c r="P169" i="6"/>
  <c r="Q169" i="6" s="1"/>
  <c r="P168" i="6"/>
  <c r="Q168" i="6" s="1"/>
  <c r="P160" i="6"/>
  <c r="Q160" i="6" s="1"/>
  <c r="O98" i="6"/>
  <c r="O131" i="6"/>
  <c r="E11" i="9"/>
  <c r="F11" i="9" s="1"/>
  <c r="H11" i="9" s="1"/>
  <c r="D49" i="3"/>
  <c r="N175" i="6"/>
  <c r="N176" i="6" s="1"/>
  <c r="O164" i="6"/>
  <c r="N143" i="6"/>
  <c r="O99" i="6"/>
  <c r="O132" i="6"/>
  <c r="O142" i="6" s="1"/>
  <c r="O165" i="6"/>
  <c r="O39" i="3"/>
  <c r="N110" i="6"/>
  <c r="L146" i="6" l="1"/>
  <c r="M144" i="6"/>
  <c r="M145" i="6" s="1"/>
  <c r="L113" i="6"/>
  <c r="M111" i="6"/>
  <c r="M112" i="6" s="1"/>
  <c r="P99" i="6"/>
  <c r="Q92" i="6"/>
  <c r="P132" i="6"/>
  <c r="Q125" i="6"/>
  <c r="P165" i="6"/>
  <c r="Q158" i="6"/>
  <c r="O175" i="6"/>
  <c r="O176" i="6" s="1"/>
  <c r="M179" i="6"/>
  <c r="N177" i="6"/>
  <c r="N178" i="6" s="1"/>
  <c r="H42" i="3"/>
  <c r="C107" i="7"/>
  <c r="I10" i="3"/>
  <c r="Q159" i="6"/>
  <c r="P164" i="6"/>
  <c r="O143" i="6"/>
  <c r="O109" i="6"/>
  <c r="O110" i="6" s="1"/>
  <c r="P131" i="6"/>
  <c r="Q131" i="6" s="1"/>
  <c r="E59" i="6" s="1"/>
  <c r="P39" i="3"/>
  <c r="R36" i="3"/>
  <c r="Q36" i="3"/>
  <c r="P98" i="6"/>
  <c r="Q98" i="6" s="1"/>
  <c r="Q93" i="6"/>
  <c r="M146" i="6" l="1"/>
  <c r="N144" i="6"/>
  <c r="N145" i="6" s="1"/>
  <c r="Q165" i="6"/>
  <c r="P175" i="6"/>
  <c r="B17" i="7"/>
  <c r="B10" i="8"/>
  <c r="M113" i="6"/>
  <c r="N111" i="6"/>
  <c r="N112" i="6" s="1"/>
  <c r="Q99" i="6"/>
  <c r="P109" i="6"/>
  <c r="Q132" i="6"/>
  <c r="P142" i="6"/>
  <c r="D59" i="6"/>
  <c r="G59" i="6" s="1"/>
  <c r="E26" i="9"/>
  <c r="F26" i="9" s="1"/>
  <c r="H26" i="9" s="1"/>
  <c r="N179" i="6"/>
  <c r="O177" i="6"/>
  <c r="O178" i="6" s="1"/>
  <c r="I40" i="3"/>
  <c r="N146" i="6"/>
  <c r="O144" i="6"/>
  <c r="O145" i="6" s="1"/>
  <c r="R39" i="3"/>
  <c r="D48" i="3" s="1"/>
  <c r="Q39" i="3"/>
  <c r="E12" i="9"/>
  <c r="F12" i="9" s="1"/>
  <c r="H12" i="9" s="1"/>
  <c r="D50" i="3"/>
  <c r="Q164" i="6"/>
  <c r="F59" i="6" s="1"/>
  <c r="Q175" i="6" l="1"/>
  <c r="F60" i="6" s="1"/>
  <c r="P176" i="6"/>
  <c r="Q176" i="6" s="1"/>
  <c r="H59" i="6"/>
  <c r="P110" i="6"/>
  <c r="Q110" i="6" s="1"/>
  <c r="Q109" i="6"/>
  <c r="Q142" i="6"/>
  <c r="E60" i="6" s="1"/>
  <c r="P143" i="6"/>
  <c r="Q143" i="6" s="1"/>
  <c r="N113" i="6"/>
  <c r="O111" i="6"/>
  <c r="O112" i="6" s="1"/>
  <c r="O179" i="6"/>
  <c r="P177" i="6"/>
  <c r="I42" i="3"/>
  <c r="C108" i="7"/>
  <c r="J10" i="3"/>
  <c r="O146" i="6"/>
  <c r="P144" i="6"/>
  <c r="D58" i="3"/>
  <c r="P178" i="6" l="1"/>
  <c r="F61" i="6"/>
  <c r="F68" i="6"/>
  <c r="F69" i="6" s="1"/>
  <c r="P145" i="6"/>
  <c r="D68" i="6"/>
  <c r="D61" i="6"/>
  <c r="E27" i="9"/>
  <c r="F27" i="9" s="1"/>
  <c r="H27" i="9" s="1"/>
  <c r="D60" i="6"/>
  <c r="E68" i="6"/>
  <c r="E61" i="6"/>
  <c r="P111" i="6"/>
  <c r="O113" i="6"/>
  <c r="J40" i="3"/>
  <c r="G60" i="6"/>
  <c r="H60" i="6"/>
  <c r="F64" i="6" l="1"/>
  <c r="D130" i="7" s="1"/>
  <c r="F65" i="6"/>
  <c r="P179" i="6"/>
  <c r="F63" i="6"/>
  <c r="P146" i="6"/>
  <c r="E66" i="6" s="1"/>
  <c r="E64" i="6"/>
  <c r="D129" i="7" s="1"/>
  <c r="E65" i="6"/>
  <c r="E63" i="6"/>
  <c r="C129" i="7" s="1"/>
  <c r="G61" i="6"/>
  <c r="H61" i="6"/>
  <c r="P112" i="6"/>
  <c r="D69" i="6" s="1"/>
  <c r="E39" i="9"/>
  <c r="F39" i="9" s="1"/>
  <c r="H39" i="9" s="1"/>
  <c r="H68" i="6"/>
  <c r="E69" i="6"/>
  <c r="G68" i="6"/>
  <c r="F67" i="6"/>
  <c r="F66" i="6"/>
  <c r="C130" i="7"/>
  <c r="J42" i="3"/>
  <c r="C109" i="7"/>
  <c r="K10" i="3"/>
  <c r="E67" i="6"/>
  <c r="B4" i="6" s="1"/>
  <c r="D63" i="6" l="1"/>
  <c r="P113" i="6"/>
  <c r="D65" i="6"/>
  <c r="D64" i="6"/>
  <c r="E38" i="9"/>
  <c r="F38" i="9" s="1"/>
  <c r="H38" i="9" s="1"/>
  <c r="B80" i="6"/>
  <c r="C25" i="8"/>
  <c r="K40" i="3"/>
  <c r="C128" i="7" l="1"/>
  <c r="B19" i="7"/>
  <c r="G63" i="6"/>
  <c r="H63" i="6"/>
  <c r="B25" i="8"/>
  <c r="D66" i="6"/>
  <c r="D67" i="6"/>
  <c r="G64" i="6"/>
  <c r="H64" i="6"/>
  <c r="D128" i="7"/>
  <c r="K42" i="3"/>
  <c r="C110" i="7"/>
  <c r="L10" i="3"/>
  <c r="G66" i="6" l="1"/>
  <c r="E36" i="9" s="1"/>
  <c r="F36" i="9" s="1"/>
  <c r="H36" i="9" s="1"/>
  <c r="H66" i="6"/>
  <c r="L40" i="3"/>
  <c r="L42" i="3" l="1"/>
  <c r="C111" i="7"/>
  <c r="M10" i="3"/>
  <c r="M40" i="3" l="1"/>
  <c r="M42" i="3" l="1"/>
  <c r="C112" i="7"/>
  <c r="N10" i="3"/>
  <c r="N40" i="3" l="1"/>
  <c r="N42" i="3" l="1"/>
  <c r="C113" i="7"/>
  <c r="O10" i="3"/>
  <c r="O40" i="3" l="1"/>
  <c r="O42" i="3" l="1"/>
  <c r="C114" i="7"/>
  <c r="P10" i="3"/>
  <c r="E9" i="9" l="1"/>
  <c r="F9" i="9" s="1"/>
  <c r="H9" i="9" s="1"/>
  <c r="P40" i="3"/>
  <c r="E8" i="9" l="1"/>
  <c r="F8" i="9" s="1"/>
  <c r="H8" i="9" s="1"/>
  <c r="E28" i="9"/>
  <c r="F28" i="9" s="1"/>
  <c r="H28" i="9" s="1"/>
  <c r="D56" i="3"/>
  <c r="N7" i="7" s="1"/>
  <c r="D57" i="3"/>
  <c r="D52" i="3"/>
  <c r="D51" i="3"/>
  <c r="P42" i="3"/>
  <c r="D47" i="3"/>
  <c r="F8" i="7" s="1"/>
  <c r="C115" i="7"/>
  <c r="D46" i="3"/>
  <c r="F7" i="7" s="1"/>
  <c r="J8" i="7" l="1"/>
  <c r="D53" i="3"/>
  <c r="J7" i="7"/>
  <c r="D54" i="3"/>
  <c r="D55" i="3"/>
  <c r="E31" i="9"/>
  <c r="F31" i="9" s="1"/>
  <c r="H31" i="9" s="1"/>
  <c r="E33" i="9" l="1"/>
  <c r="F33" i="9" s="1"/>
  <c r="H33" i="9" s="1"/>
  <c r="B7" i="8"/>
  <c r="B16" i="7"/>
  <c r="E37" i="9" s="1"/>
  <c r="E42" i="9"/>
  <c r="F42" i="9" s="1"/>
  <c r="H42" i="9" s="1"/>
  <c r="F37" i="9" l="1"/>
  <c r="H37" i="9" s="1"/>
  <c r="E5" i="9" l="1"/>
  <c r="D5" i="9"/>
</calcChain>
</file>

<file path=xl/sharedStrings.xml><?xml version="1.0" encoding="utf-8"?>
<sst xmlns="http://schemas.openxmlformats.org/spreadsheetml/2006/main" count="991" uniqueCount="665">
  <si>
    <t>ATELIER NORTH PTE. LTD.</t>
  </si>
  <si>
    <t>SGD  ·  synthetic data</t>
  </si>
  <si>
    <t>Synthetic FP&amp;A portfolio model  ·  model guide and conventions</t>
  </si>
  <si>
    <t>SYNTHETIC DATA</t>
  </si>
  <si>
    <t>All companies, transactions and financial data in this workbook are fictional and created solely to demonstrate financial-modelling and FP&amp;A capabilities.</t>
  </si>
  <si>
    <t>Atelier North Pte. Ltd. does not exist. No client, employer, customer or confidential information appears in this file. The methodology, structure and controls reflect the approach used on real engagements; the numbers do not.</t>
  </si>
  <si>
    <t>MODEL AT A GLANCE</t>
  </si>
  <si>
    <t>Purpose</t>
  </si>
  <si>
    <t>A management decision tool for an owner-managed fashion retailer under short-term cash pressure.</t>
  </si>
  <si>
    <t>Key questions</t>
  </si>
  <si>
    <t>Will we run out of cash this quarter?  Which channels make money?  Is the flagship store viable?  What should we do?</t>
  </si>
  <si>
    <t>Business</t>
  </si>
  <si>
    <t>Atelier North Pte. Ltd. - independent Singapore fashion / apparel retailer, owner-managed, books kept in Xero.</t>
  </si>
  <si>
    <t>Channels</t>
  </si>
  <si>
    <t>Flagship store  ·  E-commerce  ·  Events / pop-ups  ·  Consignment partners</t>
  </si>
  <si>
    <t>Reporting currency</t>
  </si>
  <si>
    <t>Singapore Dollars (SGD). All lines are stated net of GST; GST is settled quarterly as a single payment.</t>
  </si>
  <si>
    <t>Historical period</t>
  </si>
  <si>
    <t>Six months ended 31 July 2026 (Feb-26 to Jul-26) - channel P&amp;L and break-even base.</t>
  </si>
  <si>
    <t>Forecast period</t>
  </si>
  <si>
    <t>13 weeks, Monday 3 August 2026 to Sunday 1 November 2026.</t>
  </si>
  <si>
    <t>Source data</t>
  </si>
  <si>
    <t>Xero trial balance and tracking categories, AP ageing and purchase-order commitments, POS and e-commerce reports.</t>
  </si>
  <si>
    <t>WORKBOOK NAVIGATION</t>
  </si>
  <si>
    <t>Dashboard</t>
  </si>
  <si>
    <t>Management Insights</t>
  </si>
  <si>
    <t>Seven findings, each with its commercial consequence and a recommended action.</t>
  </si>
  <si>
    <t>13W Cash Flow</t>
  </si>
  <si>
    <t>Rolling 13-week forecast. Receipts by channel, outflows by cost line, closing cash against the minimum buffer.</t>
  </si>
  <si>
    <t>Channel Profitability</t>
  </si>
  <si>
    <t>Six-month management P&amp;L by channel: contribution margin, then direct channel profit, then shared overhead.</t>
  </si>
  <si>
    <t>Store Break-Even</t>
  </si>
  <si>
    <t>Flagship store viability: break-even sales, margin of safety, two sensitivity grids and a driver ranking.</t>
  </si>
  <si>
    <t>Scenarios</t>
  </si>
  <si>
    <t>Continue / improve / exit, each with a full 13-week cash rebuild and the thresholds that decide between them.</t>
  </si>
  <si>
    <t>Assumptions</t>
  </si>
  <si>
    <t>Every hardcoded input in the model, in sixteen labelled sections. The only sheet you need to edit.</t>
  </si>
  <si>
    <t>Controls</t>
  </si>
  <si>
    <t>Thirty reconciliation and integrity checks. MODEL STATUS must read PASS before the pack is issued.</t>
  </si>
  <si>
    <t>CELL CONVENTIONS</t>
  </si>
  <si>
    <t>Hardcoded input</t>
  </si>
  <si>
    <t>Pale yellow fill with navy-blue text. These are the only cells intended to be edited.</t>
  </si>
  <si>
    <t>Formula</t>
  </si>
  <si>
    <t>Standard black text - calculated on the same sheet.</t>
  </si>
  <si>
    <t>Cross-sheet link</t>
  </si>
  <si>
    <t>Muted green text - pulls a value from another sheet in this workbook.</t>
  </si>
  <si>
    <t>Key output</t>
  </si>
  <si>
    <t>Bold navy on a light panel - a headline figure that feeds the Dashboard.</t>
  </si>
  <si>
    <t>METHODOLOGY AND LIMITATIONS</t>
  </si>
  <si>
    <t>Cash, not accruals</t>
  </si>
  <si>
    <t>Receipts run through channel-specific settlement lags; costs run through their actual payment dates. Payment timing is derived from the week dates, so rolling the forecast forward is a one-cell change.</t>
  </si>
  <si>
    <t>Contribution first</t>
  </si>
  <si>
    <t>Channels are judged on contribution margin and then on direct channel profit. Shared overhead is held back from the primary view; a fully-absorbed memo view is shown separately.</t>
  </si>
  <si>
    <t>Break-even</t>
  </si>
  <si>
    <t>Break-even sales = fixed store costs / contribution margin %, measured after the costs that genuinely move with store sales.</t>
  </si>
  <si>
    <t>Each scenario rebuilds the weekly cash path from the same drivers. With neutral levers Scenario 1 reproduces the base case exactly - this is tested on the Controls tab.</t>
  </si>
  <si>
    <t>Limitations</t>
  </si>
  <si>
    <t>Thirteen weeks only: a liquidity tool, not a budget. No balance sheet or deferred tax. GST is a single quarterly settlement. Exit costs are illustrative estimates.</t>
  </si>
  <si>
    <t>Prepared as a portfolio work sample. Data synthetic; methodology as used in practice.</t>
  </si>
  <si>
    <t>Central assumptions  ·  every hardcoded input in the model lives on this sheet</t>
  </si>
  <si>
    <t>Back to Dashboard</t>
  </si>
  <si>
    <t>Legend</t>
  </si>
  <si>
    <t>input</t>
  </si>
  <si>
    <t>edit these</t>
  </si>
  <si>
    <t>Black = calculated on this sheet.   Green = link to another sheet.   Scenario levers are held on the Scenarios tab.</t>
  </si>
  <si>
    <t>1.  MODEL CONTROL</t>
  </si>
  <si>
    <t>Week 1 commencing (Monday)</t>
  </si>
  <si>
    <t>date</t>
  </si>
  <si>
    <t>Roll the forecast by changing this one date.</t>
  </si>
  <si>
    <t>Historical period ended</t>
  </si>
  <si>
    <t>Six months of channel actuals to this date.</t>
  </si>
  <si>
    <t>Weeks per month conversion factor</t>
  </si>
  <si>
    <t>wks/mth</t>
  </si>
  <si>
    <t>Used to convert weekly run-rates to monthly.</t>
  </si>
  <si>
    <t>2.  CASH</t>
  </si>
  <si>
    <t>Opening cash balance at Week 1</t>
  </si>
  <si>
    <t>SGD</t>
  </si>
  <si>
    <t>Bank balance per the Xero bank reconciliation.</t>
  </si>
  <si>
    <t>Minimum operating cash threshold</t>
  </si>
  <si>
    <t>3.  REVENUE - FORECAST WEEKLY RUN-RATES (gross of discounts)</t>
  </si>
  <si>
    <t>Physical store - gross sales per week</t>
  </si>
  <si>
    <t>SGD/wk</t>
  </si>
  <si>
    <t>E-commerce - gross sales per week</t>
  </si>
  <si>
    <t>Ahead of the 6-month average: e-commerce is growing.</t>
  </si>
  <si>
    <t>Events / pop-ups - gross sales per event week</t>
  </si>
  <si>
    <t>Applied only in weeks with a scheduled event.</t>
  </si>
  <si>
    <t>Consignment - gross sales per week (at partner retail)</t>
  </si>
  <si>
    <t>4.  DISCOUNTS, RETURNS AND GROSS MARGIN</t>
  </si>
  <si>
    <t>Store - discounts and returns</t>
  </si>
  <si>
    <t>% of gross</t>
  </si>
  <si>
    <t>E-commerce - discounts and returns</t>
  </si>
  <si>
    <t>Higher: size-driven online returns.</t>
  </si>
  <si>
    <t>Events - discounts and returns</t>
  </si>
  <si>
    <t>Consignment - discounts and returns</t>
  </si>
  <si>
    <t>Partner sells at full retail.</t>
  </si>
  <si>
    <t>Store - gross margin</t>
  </si>
  <si>
    <t>% of net</t>
  </si>
  <si>
    <t>E-commerce - gross margin</t>
  </si>
  <si>
    <t>Events - gross margin</t>
  </si>
  <si>
    <t>Curated, full-price sell-through.</t>
  </si>
  <si>
    <t>Consignment - product gross margin (before commission)</t>
  </si>
  <si>
    <t>5.  VARIABLE CHANNEL COSTS (move with sales)</t>
  </si>
  <si>
    <t>Store - merchant / payment fees</t>
  </si>
  <si>
    <t>E-commerce - payment gateway and platform transaction fees</t>
  </si>
  <si>
    <t>Events - merchant / payment fees</t>
  </si>
  <si>
    <t>Store - variable / casual labour</t>
  </si>
  <si>
    <t>Weekend and peak-hour cover above base roster.</t>
  </si>
  <si>
    <t>Store - other direct costs (packaging, consumables)</t>
  </si>
  <si>
    <t>E-commerce - fulfilment and shipping, net of customer recovery</t>
  </si>
  <si>
    <t>E-commerce - digital marketing</t>
  </si>
  <si>
    <t>Performance media; scales with revenue.</t>
  </si>
  <si>
    <t>Events - event costs (space, fixtures, transport, crew)</t>
  </si>
  <si>
    <t>Consignment - partner commission</t>
  </si>
  <si>
    <t>Deducted by the partner before remittance.</t>
  </si>
  <si>
    <t>Consignment - handling and logistics</t>
  </si>
  <si>
    <t>6.  STORE DIRECT FIXED COSTS (monthly)</t>
  </si>
  <si>
    <t>Store rent</t>
  </si>
  <si>
    <t>SGD/mth</t>
  </si>
  <si>
    <t>Flagship lease; next break option at the end of Q1 2027.</t>
  </si>
  <si>
    <t>Store base payroll (manager + 2 full-time)</t>
  </si>
  <si>
    <t>Store utilities and service charge</t>
  </si>
  <si>
    <t>Store POS and store software</t>
  </si>
  <si>
    <t>Store insurance and other occupancy</t>
  </si>
  <si>
    <t>Total store direct fixed costs</t>
  </si>
  <si>
    <t>7.  E-COMMERCE DIRECT FIXED COSTS (monthly)</t>
  </si>
  <si>
    <t>E-commerce platform, apps and subscriptions</t>
  </si>
  <si>
    <t>E-commerce and fulfilment payroll</t>
  </si>
  <si>
    <t>Total e-commerce direct fixed costs</t>
  </si>
  <si>
    <t>8.  SHARED OVERHEAD (monthly - not allocated to channels)</t>
  </si>
  <si>
    <t>Management and admin payroll</t>
  </si>
  <si>
    <t>Professional fees (accounting, tax, advisory)</t>
  </si>
  <si>
    <t>General software (accounting, payroll, productivity)</t>
  </si>
  <si>
    <t>Brand marketing (non-channel)</t>
  </si>
  <si>
    <t>Corporate admin, insurance and bank charges</t>
  </si>
  <si>
    <t>Total shared overhead</t>
  </si>
  <si>
    <t>9.  WORKING CAPITAL - CASH CONVERSION</t>
  </si>
  <si>
    <t>Store - % of sales collected in the week of sale</t>
  </si>
  <si>
    <t>%</t>
  </si>
  <si>
    <t>Card settlement T+2; balance lands the following week.</t>
  </si>
  <si>
    <t>E-commerce - % of sales collected in the week of sale</t>
  </si>
  <si>
    <t>Gateway payout cycle.</t>
  </si>
  <si>
    <t>Events - % of sales collected in the week of sale</t>
  </si>
  <si>
    <t>Cash and terminal takings banked at the event.</t>
  </si>
  <si>
    <t>Consignment - collection lag</t>
  </si>
  <si>
    <t>weeks</t>
  </si>
  <si>
    <t>Partners report and remit monthly in arrears.</t>
  </si>
  <si>
    <t>Store - receipts due in Week 1 from prior-week sales</t>
  </si>
  <si>
    <t>E-commerce - receipts due in Week 1 from prior-week sales</t>
  </si>
  <si>
    <t>Consignment receivable at Week 1 (net of commission)</t>
  </si>
  <si>
    <t>Calculated: four weeks of consignment sales, released evenly over Weeks 1-4.</t>
  </si>
  <si>
    <t>Inventory replenishment funded weekly</t>
  </si>
  <si>
    <t>% of weekly COGS</t>
  </si>
  <si>
    <t>Balance of stock intake comes from the scheduled AW26 buy below.</t>
  </si>
  <si>
    <t>10.  PAYMENT TIMING (day of month)</t>
  </si>
  <si>
    <t>Rent and monthly sundry costs paid on day</t>
  </si>
  <si>
    <t>day</t>
  </si>
  <si>
    <t>Term loan instalment paid on day</t>
  </si>
  <si>
    <t>Software subscriptions and brand marketing paid on day</t>
  </si>
  <si>
    <t>Utilities and service charge paid on day</t>
  </si>
  <si>
    <t>Professional fees paid on day</t>
  </si>
  <si>
    <t>Payroll paid on the last day of the month</t>
  </si>
  <si>
    <t>month end</t>
  </si>
  <si>
    <t>Driven by EOMONTH() on the 13W Cash Flow tab - no hardcoded week numbers.</t>
  </si>
  <si>
    <t>11.  OTHER CASH ITEMS</t>
  </si>
  <si>
    <t>Term loan instalment (renovation facility)</t>
  </si>
  <si>
    <t>Quarterly GST settlement</t>
  </si>
  <si>
    <t>Quarter ended 31 Aug 2026, payable by 30 Sep 2026.</t>
  </si>
  <si>
    <t>GST settlement falls in forecast week</t>
  </si>
  <si>
    <t>week no.</t>
  </si>
  <si>
    <t>12.  DERIVED CASH GROUPINGS (calculated - keeps P&amp;L and cash tied together)</t>
  </si>
  <si>
    <t>Corporate and admin payroll (cash row)</t>
  </si>
  <si>
    <t>Management/admin payroll plus e-commerce payroll.</t>
  </si>
  <si>
    <t>Software and subscriptions (cash row)</t>
  </si>
  <si>
    <t>Store POS + e-commerce platform + general software.</t>
  </si>
  <si>
    <t>Other operating expenses - monthly (cash row)</t>
  </si>
  <si>
    <t>Store insurance/occupancy + corporate admin.</t>
  </si>
  <si>
    <t>Total fixed cost base per month (all sheets)</t>
  </si>
  <si>
    <t>13.  HISTORICAL GROSS SALES BY CHANNEL - six months to 31 July 2026 (SGD)</t>
  </si>
  <si>
    <t>Channel</t>
  </si>
  <si>
    <t>Feb-26</t>
  </si>
  <si>
    <t>Mar-26</t>
  </si>
  <si>
    <t>Apr-26</t>
  </si>
  <si>
    <t>May-26</t>
  </si>
  <si>
    <t>Jun-26</t>
  </si>
  <si>
    <t>Jul-26</t>
  </si>
  <si>
    <t>6-mth total</t>
  </si>
  <si>
    <t>Monthly avg</t>
  </si>
  <si>
    <t>Physical store</t>
  </si>
  <si>
    <t>E-commerce</t>
  </si>
  <si>
    <t>Events / pop-ups</t>
  </si>
  <si>
    <t>Consignment</t>
  </si>
  <si>
    <t>Total gross sales</t>
  </si>
  <si>
    <t>Months with no scheduled pop-up show nil event revenue - the channel is genuinely lumpy.</t>
  </si>
  <si>
    <t>14.  FORECAST WEEKLY DRIVERS - seasonality indices and event calendar (Weeks 1-13)</t>
  </si>
  <si>
    <t>Driver</t>
  </si>
  <si>
    <t>Avg / check</t>
  </si>
  <si>
    <t>W1</t>
  </si>
  <si>
    <t>W2</t>
  </si>
  <si>
    <t>W3</t>
  </si>
  <si>
    <t>W4</t>
  </si>
  <si>
    <t>W5</t>
  </si>
  <si>
    <t>W6</t>
  </si>
  <si>
    <t>W7</t>
  </si>
  <si>
    <t>W8</t>
  </si>
  <si>
    <t>W9</t>
  </si>
  <si>
    <t>W10</t>
  </si>
  <si>
    <t>W11</t>
  </si>
  <si>
    <t>W12</t>
  </si>
  <si>
    <t>W13</t>
  </si>
  <si>
    <t>Store demand index</t>
  </si>
  <si>
    <t>E-commerce demand index</t>
  </si>
  <si>
    <t>Event intensity (0 = no event; 1.0 = standard pop-up)</t>
  </si>
  <si>
    <t>Consignment demand index</t>
  </si>
  <si>
    <t>National Day trading in W2; AW26 launch builds through W10-W13; pop-ups scheduled in W2, W7, W11 and W13.</t>
  </si>
  <si>
    <t>15.  INVENTORY - SCHEDULED AW26 BUY PAYMENTS (in addition to weekly replenishment)</t>
  </si>
  <si>
    <t>Purchase commitment</t>
  </si>
  <si>
    <t>Amount (SGD)</t>
  </si>
  <si>
    <t>Due week</t>
  </si>
  <si>
    <t>AW26 core outerwear - 30% deposit on order</t>
  </si>
  <si>
    <t>AW26 knitwear and jersey - shipment balance</t>
  </si>
  <si>
    <t>AW26 main drop - shipment balance</t>
  </si>
  <si>
    <t>Holiday capsule and accessories - deposit</t>
  </si>
  <si>
    <t>Total scheduled AW26 buy payments</t>
  </si>
  <si>
    <t>Source: signed AW26 purchase orders and supplier payment schedule (30% deposit on order, balance on shipment).</t>
  </si>
  <si>
    <t>16.  OTHER / ONE-OFF RECEIPTS</t>
  </si>
  <si>
    <t>Other or one-off receipt (base case)</t>
  </si>
  <si>
    <t>Base case assumes none; used by the exit scenario.</t>
  </si>
  <si>
    <t>Week of receipt (0 = none)</t>
  </si>
  <si>
    <t>Rolling 13-week cash-flow forecast  ·  week commencing Monday 3 August 2026</t>
  </si>
  <si>
    <t>Timing driver</t>
  </si>
  <si>
    <t>Week 1</t>
  </si>
  <si>
    <t>Week 2</t>
  </si>
  <si>
    <t>Week 3</t>
  </si>
  <si>
    <t>Week 4</t>
  </si>
  <si>
    <t>Week 5</t>
  </si>
  <si>
    <t>Week 6</t>
  </si>
  <si>
    <t>Week 7</t>
  </si>
  <si>
    <t>Week 8</t>
  </si>
  <si>
    <t>Week 9</t>
  </si>
  <si>
    <t>Week 10</t>
  </si>
  <si>
    <t>Week 11</t>
  </si>
  <si>
    <t>Week 12</t>
  </si>
  <si>
    <t>Week 13</t>
  </si>
  <si>
    <t>13-Week Total</t>
  </si>
  <si>
    <t>Weekly Average</t>
  </si>
  <si>
    <t>Week number</t>
  </si>
  <si>
    <t>Week commencing</t>
  </si>
  <si>
    <t>Week ending</t>
  </si>
  <si>
    <t>OPENING CASH</t>
  </si>
  <si>
    <t>prior week close</t>
  </si>
  <si>
    <t>CASH RECEIPTS</t>
  </si>
  <si>
    <t>Physical store receipts</t>
  </si>
  <si>
    <t>92% same week</t>
  </si>
  <si>
    <t>E-commerce receipts</t>
  </si>
  <si>
    <t>85% same week</t>
  </si>
  <si>
    <t>Events / pop-up receipts</t>
  </si>
  <si>
    <t>banked at event</t>
  </si>
  <si>
    <t>Consignment receipts (net of partner commission)</t>
  </si>
  <si>
    <t>4-week lag</t>
  </si>
  <si>
    <t>Other / one-off receipts</t>
  </si>
  <si>
    <t>one-off schedule</t>
  </si>
  <si>
    <t>Total cash receipts</t>
  </si>
  <si>
    <t>CASH OUTFLOWS</t>
  </si>
  <si>
    <t>Inventory and supplier payments</t>
  </si>
  <si>
    <t>replenish + AW26 buy</t>
  </si>
  <si>
    <t>Store payroll</t>
  </si>
  <si>
    <t>Corporate and admin payroll</t>
  </si>
  <si>
    <t>Rent</t>
  </si>
  <si>
    <t>1st of month</t>
  </si>
  <si>
    <t>Digital and brand marketing</t>
  </si>
  <si>
    <t>% of e-comm + monthly</t>
  </si>
  <si>
    <t>Shipping, fulfilment and handling</t>
  </si>
  <si>
    <t>% of sales</t>
  </si>
  <si>
    <t>Merchant and payment fees</t>
  </si>
  <si>
    <t>Event costs</t>
  </si>
  <si>
    <t>% of event sales</t>
  </si>
  <si>
    <t>Store variable labour</t>
  </si>
  <si>
    <t>% of store sales</t>
  </si>
  <si>
    <t>Utilities and service charge</t>
  </si>
  <si>
    <t>15th</t>
  </si>
  <si>
    <t>Software and subscriptions</t>
  </si>
  <si>
    <t>10th</t>
  </si>
  <si>
    <t>Professional fees</t>
  </si>
  <si>
    <t>20th</t>
  </si>
  <si>
    <t>GST settlement</t>
  </si>
  <si>
    <t>quarterly</t>
  </si>
  <si>
    <t>Term loan repayment</t>
  </si>
  <si>
    <t>5th</t>
  </si>
  <si>
    <t>Other operating expenses</t>
  </si>
  <si>
    <t>monthly + variable</t>
  </si>
  <si>
    <t>Total cash outflows</t>
  </si>
  <si>
    <t>CASH SUMMARY</t>
  </si>
  <si>
    <t>Net weekly cash movement</t>
  </si>
  <si>
    <t>CLOSING CASH</t>
  </si>
  <si>
    <t>Minimum cash threshold</t>
  </si>
  <si>
    <t>Headroom / (shortfall) vs threshold</t>
  </si>
  <si>
    <t>KEY OUTPUTS  -  these cells feed the Dashboard</t>
  </si>
  <si>
    <t>Opening cash - Week 1</t>
  </si>
  <si>
    <t>Per the Assumptions tab.</t>
  </si>
  <si>
    <t>Closing cash - Week 13</t>
  </si>
  <si>
    <t>Net cash movement over 13 weeks</t>
  </si>
  <si>
    <t>Average weekly net cash movement</t>
  </si>
  <si>
    <t>Negative = weekly cash burn.</t>
  </si>
  <si>
    <t>Lowest projected cash balance</t>
  </si>
  <si>
    <t>Week of lowest cash</t>
  </si>
  <si>
    <t>Week commencing of lowest cash</t>
  </si>
  <si>
    <t>Headroom / (shortfall) at the lowest point</t>
  </si>
  <si>
    <t>Weeks below the minimum cash threshold</t>
  </si>
  <si>
    <t>Cash runway to nil cash at the average weekly burn</t>
  </si>
  <si>
    <t>Closing cash divided by the average weekly burn.</t>
  </si>
  <si>
    <t>Cash runway to the minimum threshold at the average weekly burn</t>
  </si>
  <si>
    <t>Average weekly cash burn (positive number)</t>
  </si>
  <si>
    <t>Roll-forward: Opening cash + Total receipts - Total outflows = Closing cash, and next week's opening cash equals this week's closing cash. Both identities are tested on the Controls tab.</t>
  </si>
  <si>
    <t>SUPPORTING CALCULATIONS  -  drivers, cash conversion and payment timing</t>
  </si>
  <si>
    <t>Payment timing flags   (1 = the payment date falls inside that week; driven by the week dates, not by hardcoded week numbers)</t>
  </si>
  <si>
    <t>Rent and monthly sundry costs (day 1)</t>
  </si>
  <si>
    <t>DATE / AND test</t>
  </si>
  <si>
    <t>Term loan instalment (day 5)</t>
  </si>
  <si>
    <t>Software and brand marketing (day 10)</t>
  </si>
  <si>
    <t>Utilities and service charge (day 15)</t>
  </si>
  <si>
    <t>Professional fees (day 20)</t>
  </si>
  <si>
    <t>Payroll (last day of month)</t>
  </si>
  <si>
    <t>EOMONTH test</t>
  </si>
  <si>
    <t>Net sales by channel   (gross weekly run-rate x seasonality index, less discounts and returns)</t>
  </si>
  <si>
    <t>run-rate x index</t>
  </si>
  <si>
    <t>event calendar</t>
  </si>
  <si>
    <t>Total net sales</t>
  </si>
  <si>
    <t>Cost of goods sold</t>
  </si>
  <si>
    <t>Total cost of goods sold</t>
  </si>
  <si>
    <t>Inventory purchase build</t>
  </si>
  <si>
    <t>Ongoing replenishment purchases</t>
  </si>
  <si>
    <t>Scheduled AW26 buy payments</t>
  </si>
  <si>
    <t>purchase schedule</t>
  </si>
  <si>
    <t>Total inventory and supplier payments</t>
  </si>
  <si>
    <t>Management P&amp;L by channel  ·  six months ended 31 July 2026</t>
  </si>
  <si>
    <t>Months in period</t>
  </si>
  <si>
    <t>Shared overhead is deliberately NOT allocated in the primary view - see the memo section below.</t>
  </si>
  <si>
    <t>SGD - six months</t>
  </si>
  <si>
    <t>Rate</t>
  </si>
  <si>
    <t>Physical Store</t>
  </si>
  <si>
    <t>Events / Pop-ups</t>
  </si>
  <si>
    <t>Total Business</t>
  </si>
  <si>
    <t>% of total net revenue</t>
  </si>
  <si>
    <t>Gross sales</t>
  </si>
  <si>
    <t>Discounts and returns</t>
  </si>
  <si>
    <t>Net revenue</t>
  </si>
  <si>
    <t>Gross profit</t>
  </si>
  <si>
    <t>Gross margin %</t>
  </si>
  <si>
    <t>VARIABLE CHANNEL COSTS  (move directly with channel sales)</t>
  </si>
  <si>
    <t>Payment and merchant fees</t>
  </si>
  <si>
    <t>Fulfilment, shipping and handling</t>
  </si>
  <si>
    <t>Consignment partner commissions</t>
  </si>
  <si>
    <t>Variable store labour</t>
  </si>
  <si>
    <t>Channel marketing (digital performance media)</t>
  </si>
  <si>
    <t>Event costs (space, fixtures, transport, crew)</t>
  </si>
  <si>
    <t>Other direct operating costs</t>
  </si>
  <si>
    <t>Total variable channel costs</t>
  </si>
  <si>
    <t>CONTRIBUTION PROFIT</t>
  </si>
  <si>
    <t>Contribution margin %</t>
  </si>
  <si>
    <t>DIRECT FIXED COSTS  (attributable to a single channel; avoided if that channel closes)</t>
  </si>
  <si>
    <t>Store base payroll</t>
  </si>
  <si>
    <t>Total direct fixed costs</t>
  </si>
  <si>
    <t>DIRECT CHANNEL PROFIT / (LOSS)</t>
  </si>
  <si>
    <t>Direct channel margin %</t>
  </si>
  <si>
    <t>SHARED OVERHEAD  (not attributable to a single channel - shown in total only)</t>
  </si>
  <si>
    <t>General software</t>
  </si>
  <si>
    <t>OPERATING PROFIT (after shared overhead)</t>
  </si>
  <si>
    <t>Operating margin %</t>
  </si>
  <si>
    <t>MEMO  -  fully-absorbed view (shared overhead allocated on share of net revenue)</t>
  </si>
  <si>
    <t>Allocation basis - share of total net revenue</t>
  </si>
  <si>
    <t>Allocated shared overhead</t>
  </si>
  <si>
    <t>Fully-absorbed channel profit / (loss)</t>
  </si>
  <si>
    <t>Check: allocated overhead agrees to total shared overhead (must be nil)</t>
  </si>
  <si>
    <t>MONTHLY AVERAGE  (six-month basis - feeds the Store Break-Even tab)</t>
  </si>
  <si>
    <t>Net revenue per month</t>
  </si>
  <si>
    <t>Cost of goods sold per month</t>
  </si>
  <si>
    <t>Variable channel costs per month</t>
  </si>
  <si>
    <t>Contribution profit per month</t>
  </si>
  <si>
    <t>Direct fixed costs per month</t>
  </si>
  <si>
    <t>Direct channel profit / (loss) per month</t>
  </si>
  <si>
    <t>Reading note: contribution margin measures each channel before any fixed cost. Direct channel profit then charges only the fixed costs that would genuinely disappear if that channel closed. Shared overhead is held back because allocating it would make a decision look different without changing a single cash flow.</t>
  </si>
  <si>
    <t>Flagship store viability and break-even analysis  ·  monthly basis</t>
  </si>
  <si>
    <t>STORE VIABILITY AT A GLANCE</t>
  </si>
  <si>
    <t>CURRENT STORE TRADING  -  SGD per month, six-month average to 31 July 2026</t>
  </si>
  <si>
    <t>CURRENT NET SALES / MONTH</t>
  </si>
  <si>
    <t>BREAK-EVEN NET SALES / MONTH</t>
  </si>
  <si>
    <t>Store net sales</t>
  </si>
  <si>
    <t>Six-month average</t>
  </si>
  <si>
    <t>Fixed costs / contribution margin</t>
  </si>
  <si>
    <t>SALES GAP TO BREAK-EVEN</t>
  </si>
  <si>
    <t>MARGIN OF SAFETY</t>
  </si>
  <si>
    <t>Variable operating costs  (move with store sales)</t>
  </si>
  <si>
    <t>Negative = trading below break-even</t>
  </si>
  <si>
    <t>Variable / casual store labour</t>
  </si>
  <si>
    <t>CONTRIBUTION MARGIN</t>
  </si>
  <si>
    <t>STORE PROFIT / (LOSS) PER MONTH</t>
  </si>
  <si>
    <t>Total variable operating costs</t>
  </si>
  <si>
    <t>Per S$1 of store net sales</t>
  </si>
  <si>
    <t>After directly attributable fixed costs</t>
  </si>
  <si>
    <t>Variable costs as % of net sales</t>
  </si>
  <si>
    <t>Every S$1 of extra store sales contributes this much toward fixed costs.</t>
  </si>
  <si>
    <t>Fixed store costs  (do not move with sales; avoided only on closure)</t>
  </si>
  <si>
    <t>Base payroll</t>
  </si>
  <si>
    <t>POS and store software</t>
  </si>
  <si>
    <t>Insurance and other occupancy</t>
  </si>
  <si>
    <t>Total fixed store costs</t>
  </si>
  <si>
    <t>STORE PROFIT / (LOSS)  -  per month</t>
  </si>
  <si>
    <t>Store profit / (loss)  -  annualised</t>
  </si>
  <si>
    <t>BREAK-EVEN ANALYSIS      Break-even sales = fixed store costs / contribution margin %</t>
  </si>
  <si>
    <t>Break-even net sales - per month</t>
  </si>
  <si>
    <t>Break-even net sales - per week</t>
  </si>
  <si>
    <t>Current net sales - per month</t>
  </si>
  <si>
    <t>Sales above / (below) break-even</t>
  </si>
  <si>
    <t>Margin of safety %</t>
  </si>
  <si>
    <t>Negative = trading below break-even.</t>
  </si>
  <si>
    <t>Sales uplift required to break even</t>
  </si>
  <si>
    <t>Sales uplift required to break even - S$ per month</t>
  </si>
  <si>
    <t>Alternatively: gross-margin uplift required to break even</t>
  </si>
  <si>
    <t>Percentage points of margin, holding sales flat.</t>
  </si>
  <si>
    <t>Alternatively: rent reduction required to break even</t>
  </si>
  <si>
    <t>S$ per month, holding sales and margin flat.</t>
  </si>
  <si>
    <t>Rent reduction required - % of current rent</t>
  </si>
  <si>
    <t>MEMO  -  cross-check against the 13-week forecast run-rate</t>
  </si>
  <si>
    <t>Forecast store net sales - 13 weeks</t>
  </si>
  <si>
    <t>Equivalent monthly run-rate</t>
  </si>
  <si>
    <t>Forecast run-rate vs break-even</t>
  </si>
  <si>
    <t>Forward-looking cross-check on the historic position above.</t>
  </si>
  <si>
    <t>SENSITIVITY 1  -  monthly store profit / (loss) by sales change and gross margin</t>
  </si>
  <si>
    <t>Gross margin step (+/- percentage points)</t>
  </si>
  <si>
    <t>Gross margin scenario</t>
  </si>
  <si>
    <t>Downside</t>
  </si>
  <si>
    <t>Base</t>
  </si>
  <si>
    <t>Upside</t>
  </si>
  <si>
    <t>Positive = store covers its own fixed costs at that combination of sales and margin.</t>
  </si>
  <si>
    <t>SENSITIVITY 2  -  break-even monthly sales by gross margin and rent</t>
  </si>
  <si>
    <t>Compare each cell with current monthly net sales. Rent columns show the break-even sales level if the lease were renegotiated by that percentage.</t>
  </si>
  <si>
    <t>DRIVER SENSITIVITY  -  what actually drives store viability</t>
  </si>
  <si>
    <t>Sensitivity step applied to each driver</t>
  </si>
  <si>
    <t>Adverse move</t>
  </si>
  <si>
    <t>Favourable move</t>
  </si>
  <si>
    <t>Swing in monthly profit</t>
  </si>
  <si>
    <t>Variable cost %</t>
  </si>
  <si>
    <t>The widest swing identifies the dominant lever. Sales and gross margin move store profit far more than a proportionate change in rent or base payroll, so a trading recovery - not a cost cut alone - is what decides whether the store stays open.</t>
  </si>
  <si>
    <t>Management scenarios  ·  13-week cash outcome and monthly run-rate P&amp;L</t>
  </si>
  <si>
    <t>SCENARIO LEVERS   -   the only inputs on this sheet (amber cells)</t>
  </si>
  <si>
    <t>Lever</t>
  </si>
  <si>
    <t>1. Current Operations</t>
  </si>
  <si>
    <t>2. Store Improvement</t>
  </si>
  <si>
    <t>3. Store Exit / Channel Shift</t>
  </si>
  <si>
    <t>Note</t>
  </si>
  <si>
    <t>Store net sales change</t>
  </si>
  <si>
    <t>Improvement case: conversion, clienteling and appointment selling.</t>
  </si>
  <si>
    <t>Store gross margin change (percentage points)</t>
  </si>
  <si>
    <t>Tighter markdown control and better buy discipline.</t>
  </si>
  <si>
    <t>Store base payroll change</t>
  </si>
  <si>
    <t>Reduced opening hours on the two quietest trading days.</t>
  </si>
  <si>
    <t>Store other fixed cost change</t>
  </si>
  <si>
    <t>Utilities, POS and sundry occupancy.</t>
  </si>
  <si>
    <t>E-commerce sales change (before migration)</t>
  </si>
  <si>
    <t>Share of lost store demand migrating to e-commerce</t>
  </si>
  <si>
    <t>Deliberately NOT 100%: walk-in and tourist demand does not follow the brand online.</t>
  </si>
  <si>
    <t>Digital marketing spend factor</t>
  </si>
  <si>
    <t>Exit case funds paid media to recapture migrating demand.</t>
  </si>
  <si>
    <t>Store closure effective at the end of week (0 = no closure)</t>
  </si>
  <si>
    <t>One-off exit costs</t>
  </si>
  <si>
    <t>Lease break S$33k, reinstatement S$45k, redundancy S$18k.</t>
  </si>
  <si>
    <t>Share of exit costs settled in the first instalment</t>
  </si>
  <si>
    <t>First exit-cost instalment - week</t>
  </si>
  <si>
    <t>Second exit-cost instalment - week</t>
  </si>
  <si>
    <t>Store inventory release - one-off cash inflow</t>
  </si>
  <si>
    <t>Clearance of store floor stock.</t>
  </si>
  <si>
    <t>Week of inventory release</t>
  </si>
  <si>
    <t>Inventory replenishment factor after closure (x base)</t>
  </si>
  <si>
    <t>Smaller forward buy once the store is gone.</t>
  </si>
  <si>
    <t>MONTHLY RUN-RATE P&amp;L  -  steady state once each scenario is fully in effect</t>
  </si>
  <si>
    <t>SGD per month</t>
  </si>
  <si>
    <t>S2 vs S1</t>
  </si>
  <si>
    <t>S3 vs S1</t>
  </si>
  <si>
    <t>E-commerce net sales</t>
  </si>
  <si>
    <t>Events / pop-up net sales</t>
  </si>
  <si>
    <t>Consignment net sales</t>
  </si>
  <si>
    <t>NET REVENUE</t>
  </si>
  <si>
    <t>Contribution margin % - physical store</t>
  </si>
  <si>
    <t>Contribution margin % - e-commerce</t>
  </si>
  <si>
    <t>Contribution margin % - events</t>
  </si>
  <si>
    <t>Contribution margin % - consignment</t>
  </si>
  <si>
    <t>Contribution profit - physical store</t>
  </si>
  <si>
    <t>Contribution profit - e-commerce</t>
  </si>
  <si>
    <t>Contribution profit - events / pop-ups</t>
  </si>
  <si>
    <t>Contribution profit - consignment</t>
  </si>
  <si>
    <t>TOTAL CONTRIBUTION PROFIT</t>
  </si>
  <si>
    <t>Direct fixed costs - physical store</t>
  </si>
  <si>
    <t>Direct fixed costs - e-commerce</t>
  </si>
  <si>
    <t>Direct channel profit</t>
  </si>
  <si>
    <t>Shared overhead</t>
  </si>
  <si>
    <t>OPERATING PROFIT  (monthly run-rate)</t>
  </si>
  <si>
    <t>Store break-even net sales per month</t>
  </si>
  <si>
    <t>Store net sales vs break-even</t>
  </si>
  <si>
    <t>Negative = the store is trading below its own break-even point.</t>
  </si>
  <si>
    <t>13-WEEK CASH OUTCOME COMPARISON   -   linked to the weekly blocks below</t>
  </si>
  <si>
    <t>SGD unless stated</t>
  </si>
  <si>
    <t>Net sales over 13 weeks</t>
  </si>
  <si>
    <t>Cash receipts</t>
  </si>
  <si>
    <t>Cash outflows</t>
  </si>
  <si>
    <t>Net cash movement</t>
  </si>
  <si>
    <t>Opening cash</t>
  </si>
  <si>
    <t>CLOSING CASH - WEEK 13</t>
  </si>
  <si>
    <t>Cash runway at the average weekly burn</t>
  </si>
  <si>
    <t>DECISION THRESHOLDS   -   what has to be true for each course of action to be right</t>
  </si>
  <si>
    <t>Migration required for Scenario 3 to match Scenario 1</t>
  </si>
  <si>
    <t>Share of lost store demand that must move online.</t>
  </si>
  <si>
    <t>Migration required for Scenario 3 to match Scenario 2</t>
  </si>
  <si>
    <t>Compare with the 25% migration assumed in the exit case.</t>
  </si>
  <si>
    <t>Store monthly net sales required to break even - current cost base</t>
  </si>
  <si>
    <t>Store monthly net sales required to break even - improvement cost base</t>
  </si>
  <si>
    <t>Net one-off cash cost of exit (exit costs less inventory release)</t>
  </si>
  <si>
    <t>Monthly operating profit uplift of Scenario 3 over Scenario 1</t>
  </si>
  <si>
    <t>Payback period on the net exit cost (months)</t>
  </si>
  <si>
    <t>SCENARIO 1 - CURRENT OPERATIONS:  13-week cash flow  (SGD)</t>
  </si>
  <si>
    <t>Store open factor (1 = trading, 0 = closed)</t>
  </si>
  <si>
    <t>closure week test</t>
  </si>
  <si>
    <t>base x lever</t>
  </si>
  <si>
    <t>base + migration</t>
  </si>
  <si>
    <t>unchanged</t>
  </si>
  <si>
    <t>Store receipts</t>
  </si>
  <si>
    <t>Consignment receipts (net of commission)</t>
  </si>
  <si>
    <t>One-off receipts (inventory release / other)</t>
  </si>
  <si>
    <t>replenish + AW26</t>
  </si>
  <si>
    <t>Payroll - store and corporate</t>
  </si>
  <si>
    <t>Rent and store occupancy</t>
  </si>
  <si>
    <t>1st / 10th / 15th</t>
  </si>
  <si>
    <t>Marketing - digital and brand</t>
  </si>
  <si>
    <t>Event costs and store variable costs</t>
  </si>
  <si>
    <t>Corporate fixed outflows (software, professional fees, admin)</t>
  </si>
  <si>
    <t>10th / 20th / 1st</t>
  </si>
  <si>
    <t>GST settlement and debt service</t>
  </si>
  <si>
    <t>quarterly / 5th</t>
  </si>
  <si>
    <t>exit schedule</t>
  </si>
  <si>
    <t>Headroom / (shortfall) vs minimum threshold</t>
  </si>
  <si>
    <t>SCENARIO 2 - STORE IMPROVEMENT:  13-week cash flow  (SGD)</t>
  </si>
  <si>
    <t>SCENARIO 3 - STORE EXIT / CHANNEL SHIFT:  13-week cash flow  (SGD)</t>
  </si>
  <si>
    <t>Management dashboard  ·  13 weeks from 3 August 2026</t>
  </si>
  <si>
    <t>CASH POSITION AND RUNWAY</t>
  </si>
  <si>
    <t>OPENING CASH  ·  WEEK 1</t>
  </si>
  <si>
    <t>ENDING CASH  ·  WEEK 13</t>
  </si>
  <si>
    <t>LOWEST CASH POINT</t>
  </si>
  <si>
    <t>CASH RUNWAY</t>
  </si>
  <si>
    <t>Bank balance at 3 August 2026</t>
  </si>
  <si>
    <t>To nil cash at the average weekly burn</t>
  </si>
  <si>
    <t>TRADING AND STORE VIABILITY</t>
  </si>
  <si>
    <t>NET REVENUE  ·  13 WEEKS</t>
  </si>
  <si>
    <t>GROSS MARGIN</t>
  </si>
  <si>
    <t>STORE BREAK-EVEN GAP</t>
  </si>
  <si>
    <t>Forecast across all four channels</t>
  </si>
  <si>
    <t>Six months ended 31 July 2026</t>
  </si>
  <si>
    <t>WHAT THIS MEANS</t>
  </si>
  <si>
    <t>All figures synthetic. Every KPI and chart on this page links directly to the calculation sheets - no dashboard number is keyed independently.</t>
  </si>
  <si>
    <t>CHART DATA  -  links to the model; nothing here is keyed independently</t>
  </si>
  <si>
    <t>Week</t>
  </si>
  <si>
    <t>Closing cash</t>
  </si>
  <si>
    <t>Minimum buffer</t>
  </si>
  <si>
    <t>Contribution profit / month</t>
  </si>
  <si>
    <t>Direct channel profit / month</t>
  </si>
  <si>
    <t>Flagship store</t>
  </si>
  <si>
    <t>Current net sales</t>
  </si>
  <si>
    <t>Break-even sales</t>
  </si>
  <si>
    <t>Scenario</t>
  </si>
  <si>
    <t>Ending cash - Week 13</t>
  </si>
  <si>
    <t>Lowest projected cash</t>
  </si>
  <si>
    <t>Management summary  ·  findings, consequences and recommended actions</t>
  </si>
  <si>
    <t>Finding</t>
  </si>
  <si>
    <t>Why it matters</t>
  </si>
  <si>
    <t>Recommended action</t>
  </si>
  <si>
    <t>1.   Cash headroom disappears in Week 9</t>
  </si>
  <si>
    <t>The business is not close to running out of cash, but it breaches its own liquidity policy in the week when the AW26 buy, month-end payroll, rent and quarterly GST all land together. One slow trading week or one supplier pulling terms forward turns a policy breach into a funding problem.</t>
  </si>
  <si>
    <t>Treat Weeks 8-11 as a managed cash window: move to weekly forecast reviews and agree a standby facility of roughly S$75,000 now, while the bank is looking at a profitable trading record.</t>
  </si>
  <si>
    <t>2.   Inventory timing, not trading, drains the cash</t>
  </si>
  <si>
    <t>This is a working-capital timing problem wearing the costume of a profitability problem. Cutting operating cost would do far less for cash than moving one payment date, and would damage trading.</t>
  </si>
  <si>
    <t>Split the Week 8 tranche 60/40 across Weeks 8 and 12, or move the balance to 45-day terms. Re-phasing about S$33,000 keeps every week above the buffer without touching stock intake.</t>
  </si>
  <si>
    <t>3.   The store trades marginally below break-even</t>
  </si>
  <si>
    <t>4.   Best margin per sale, worst fixed-cost recovery</t>
  </si>
  <si>
    <t>Judging channels on gross margin alone would keep the store and starve e-commerce. The store's problem is the rent and base payroll it must clear before the first sale counts.</t>
  </si>
  <si>
    <t>Judge channels on direct channel profit, not gross margin, and keep shared overhead unallocated in the management pack. Fund e-commerce while marginal contribution exceeds marginal media cost.</t>
  </si>
  <si>
    <t>5.   Consignment: lowest realised margin, slowest cash</t>
  </si>
  <si>
    <t>Consignment is a distribution channel and an interest-free loan to the partner at the same time. It earns real contribution and needs no fixed cost, so it should not be cut - but it is the worst channel to grow while cash is tight.</t>
  </si>
  <si>
    <t>Hold consignment at its current scale through the AW26 window. At contract review push for fortnightly remittance or a commission step-down above an agreed monthly volume.</t>
  </si>
  <si>
    <t>6.   Events are the best margin but cannot be relied on</t>
  </si>
  <si>
    <t>Events flatter the average and hide the variance. They cannot replace recurring store or online revenue, and building a fixed-cost base on them would turn a tight quarter into a bad one.</t>
  </si>
  <si>
    <t>Contract four to six pop-ups per quarter a quarter ahead so the forecast carries real dates. Model them conservatively and treat any upside as cash buffer, not budget.</t>
  </si>
  <si>
    <t>7.   Improve the store; keep exit as the fallback</t>
  </si>
  <si>
    <t>Adopt the improvement case for two quarters with its sales and margin targets written into store objectives. Review at the lease break and, if the threshold is missed, execute the exit then - having first run a controlled migration test to replace the 25% assumption with evidence.</t>
  </si>
  <si>
    <t>Every figure quoted above is a live link to the model - change an assumption and these sentences change with it.</t>
  </si>
  <si>
    <t>Model controls  ·  every check must pass before the pack is issued</t>
  </si>
  <si>
    <t>MODEL STATUS</t>
  </si>
  <si>
    <t>Tolerances: S$0.50 on value reconciliations (rounding only), 0.001 on count and flag checks.</t>
  </si>
  <si>
    <t>Category</t>
  </si>
  <si>
    <t>Control  ·  what it proves</t>
  </si>
  <si>
    <t>Expected</t>
  </si>
  <si>
    <t>Actual</t>
  </si>
  <si>
    <t>Variance</t>
  </si>
  <si>
    <t>Tolerance</t>
  </si>
  <si>
    <t>Result</t>
  </si>
  <si>
    <t>CASH INTEGRITY</t>
  </si>
  <si>
    <t>1.   Cash roll-forward: opening cash + receipts - outflows = closing cash, every week</t>
  </si>
  <si>
    <t>2.   Cash continuity: each week's opening cash equals the prior week's closing cash</t>
  </si>
  <si>
    <t>3.   Week 1 opening cash agrees to the opening balance on Assumptions</t>
  </si>
  <si>
    <t>4.   Total cash receipts equals the sum of the individual receipt lines</t>
  </si>
  <si>
    <t>5.   Total cash outflows equals the sum of the individual outflow lines</t>
  </si>
  <si>
    <t>6.   Minimum cash threshold applied consistently across all 13 weeks</t>
  </si>
  <si>
    <t>7.   Forecast net sales equals the sum of the four channel sales lines</t>
  </si>
  <si>
    <t>8.   Every scheduled AW26 purchase payment falls inside the 13-week window</t>
  </si>
  <si>
    <t>CHANNEL P&amp;L</t>
  </si>
  <si>
    <t>10.   Channel P&amp;L: total net revenue equals the sum of the four channels</t>
  </si>
  <si>
    <t>11.   Channel P&amp;L: total cost of goods sold equals the sum of the four channels</t>
  </si>
  <si>
    <t>12.   Channel P&amp;L gross sales agree to the historical sales table on Assumptions</t>
  </si>
  <si>
    <t>13.   Operating profit equals contribution less direct fixed costs less shared overhead</t>
  </si>
  <si>
    <t>14.   Allocated shared overhead in the memo view sums back to total shared overhead</t>
  </si>
  <si>
    <t>15.   Fully-absorbed channel profits sum back to total operating profit</t>
  </si>
  <si>
    <t>BREAK-EVEN</t>
  </si>
  <si>
    <t>16.   Store Break-Even contribution agrees to the Channel Profitability monthly average</t>
  </si>
  <si>
    <t>17.   Break-even test: sales at the break-even level produce a nil store result</t>
  </si>
  <si>
    <t>18.   Store contribution margin is positive (break-even is mathematically meaningful)</t>
  </si>
  <si>
    <t>SCENARIO ENGINE</t>
  </si>
  <si>
    <t>19.   Scenario engine reproduces the base case: Scenario 1 receipts equal the 13W forecast</t>
  </si>
  <si>
    <t>20.   Scenario engine reproduces the base case: Scenario 1 outflows equal the 13W forecast</t>
  </si>
  <si>
    <t>21.   Scenario engine reproduces the base case: Scenario 1 Week 13 closing cash equals the 13W forecast</t>
  </si>
  <si>
    <t>22.   Scenario levers are complete - every lever is populated for all three scenarios</t>
  </si>
  <si>
    <t>DASHBOARD LINKS</t>
  </si>
  <si>
    <t>23.   Dashboard KPI links: opening cash card agrees to the 13W Cash Flow output</t>
  </si>
  <si>
    <t>24.   Dashboard KPI links: Week 13 closing cash card agrees to the 13W Cash Flow output</t>
  </si>
  <si>
    <t>25.   Dashboard KPI links: the store break-even gap card agrees to the Store Break-Even tab</t>
  </si>
  <si>
    <t>ERROR SCAN</t>
  </si>
  <si>
    <t>26.   No formula errors on the 13W Cash Flow tab</t>
  </si>
  <si>
    <t>27.   No formula errors on the Channel Profitability tab</t>
  </si>
  <si>
    <t>28.   No formula errors on the Store Break-Even tab</t>
  </si>
  <si>
    <t>29.   No formula errors on the Scenarios tab</t>
  </si>
  <si>
    <t>Tolerances are set at S$0.50 for value reconciliations (rounding only) and 0.001 for count and flag checks. A variance outside tolerance is a modelling error, not a presentational one.</t>
  </si>
  <si>
    <t>PAYMENT DATE COVERAGE TEST  -  independent check that every configured payment date is captured exactly once (feeds Controls #9)</t>
  </si>
  <si>
    <t>Accrual month</t>
  </si>
  <si>
    <t>Month start</t>
  </si>
  <si>
    <t>Rent / sundry</t>
  </si>
  <si>
    <t>Term loan</t>
  </si>
  <si>
    <t>Software / brand</t>
  </si>
  <si>
    <t>Utilities</t>
  </si>
  <si>
    <t>Payroll (month end)</t>
  </si>
  <si>
    <t>Payment day of month</t>
  </si>
  <si>
    <t>Payments falling inside the 13-week window</t>
  </si>
  <si>
    <t>Payment flags actually raised by the forecast</t>
  </si>
  <si>
    <t>Difference  (must be nil - a non-zero value means a payment was lost or duplicated)</t>
  </si>
  <si>
    <t>Payment dates are clamped to the month end, so a payment day of 29-31 settles on the last day of a shorter month rather than disappearing from the forecast.</t>
  </si>
  <si>
    <t>PAYROLL ACCRUAL SUPPORT  -  store payroll is earned in the month worked; closing the store does not extinguish payroll already accrued</t>
  </si>
  <si>
    <t>Store closure effective date  (no closure = far-future date)</t>
  </si>
  <si>
    <t>Scenario 1  -  store payroll accrual share of the month being paid</t>
  </si>
  <si>
    <t>Scenario 2  -  store payroll accrual share of the month being paid</t>
  </si>
  <si>
    <t>Scenario 3  -  store payroll accrual share of the month being paid</t>
  </si>
  <si>
    <t>Share = days the store traded in the accrual month / days in that month, clamped to 0-1. With no closure the share is 1 and payroll is unchanged.</t>
  </si>
  <si>
    <t>One-page executive summary: eight KPI cards, four headline conclusions and four charts. Start here.</t>
  </si>
  <si>
    <t>9.   Payment completeness: every configured payment date is captured exactly once (see the coverage test on the 13W Cash Flow tab)</t>
  </si>
  <si>
    <t>30.   No formula errors on the Dashboard, Management Insights, dashboard chart data or Assumptions</t>
  </si>
  <si>
    <t>31.   Scenario cash roll-forward: opening + receipts - outflows = closing, every week, all three scenarios</t>
  </si>
  <si>
    <t>32.   Scenario cash continuity: each week opens on the prior week's close, all three scenarios</t>
  </si>
  <si>
    <t>33.   Store payroll survives closure: payroll paid is nil only if the store never traded, in every scenario</t>
  </si>
  <si>
    <t>34.   Receipts completeness: receipts tie to net sales less partner commission, adjusted for the debtor movement</t>
  </si>
  <si>
    <t>35.   Dashboard links: the remaining five KPI cards and the three scenario cash cards agree to source</t>
  </si>
  <si>
    <t>SCENARIO &amp;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</si>
</sst>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dd\-mmm\-yy"/>
    <numFmt numFmtId="165" formatCode="#,##0;\(#,##0\);\-"/>
    <numFmt numFmtId="166" formatCode="0.0%;\(0.0%\);\-"/>
    <numFmt numFmtId="167" formatCode="dd\ mmm\ yy"/>
    <numFmt numFmtId="168" formatCode="&quot;S$&quot;#,##0;&quot;(S$&quot;#,##0\);\-"/>
    <numFmt numFmtId="169" formatCode="0.0&quot; wks&quot;"/>
    <numFmt numFmtId="170" formatCode="0;;\-"/>
    <numFmt numFmtId="171" formatCode="#,##0.0;\(#,##0.0\);\-"/>
    <numFmt numFmtId="172" formatCode="0.00\x"/>
    <numFmt numFmtId="173" formatCode="0.0&quot; mths&quot;"/>
    <numFmt numFmtId="174" formatCode="0.000"/>
    <numFmt numFmtId="175" formatCode="0.0%"/>
    <numFmt numFmtId="176" formatCode="&quot;Sales &quot;\+0%;&quot;Sales &quot;\-0%;&quot;Sales unchanged&quot;"/>
    <numFmt numFmtId="177" formatCode="&quot;Rent &quot;\+0%;&quot;Rent &quot;\-0%;&quot;Rent unchanged&quot;"/>
  </numFmts>
  <fonts count="40" x14ac:knownFonts="1">
    <font>
      <sz val="11"/>
      <color theme="1"/>
      <name val="Calibri"/>
      <family val="2"/>
      <charset val="1"/>
    </font>
    <font>
      <sz val="11"/>
      <color rgb="FF1A1A1A"/>
      <name val="Calibri"/>
      <charset val="1"/>
    </font>
    <font>
      <sz val="9"/>
      <color rgb="FF5B6B7B"/>
      <name val="Calibri"/>
      <charset val="1"/>
    </font>
    <font>
      <sz val="10"/>
      <color rgb="FF5B6B7B"/>
      <name val="Calibri"/>
      <charset val="1"/>
    </font>
    <font>
      <sz val="9"/>
      <color rgb="FF2E5C8A"/>
      <name val="Calibri"/>
      <charset val="1"/>
    </font>
    <font>
      <sz val="10"/>
      <color rgb="FF1A1A1A"/>
      <name val="Calibri"/>
      <charset val="1"/>
    </font>
    <font>
      <b/>
      <sz val="10"/>
      <color rgb="FF8A5D0F"/>
      <name val="Calibri"/>
      <charset val="1"/>
    </font>
    <font>
      <sz val="10"/>
      <color rgb="FF8A5D0F"/>
      <name val="Calibri"/>
      <charset val="1"/>
    </font>
    <font>
      <b/>
      <sz val="11"/>
      <color rgb="FF142F4B"/>
      <name val="Calibri"/>
      <charset val="1"/>
    </font>
    <font>
      <b/>
      <sz val="10"/>
      <color rgb="FF142F4B"/>
      <name val="Calibri"/>
      <charset val="1"/>
    </font>
    <font>
      <b/>
      <sz val="10"/>
      <color rgb="FF2E5C8A"/>
      <name val="Calibri"/>
      <charset val="1"/>
    </font>
    <font>
      <b/>
      <sz val="10"/>
      <color rgb="FF1F4E79"/>
      <name val="Calibri"/>
      <charset val="1"/>
    </font>
    <font>
      <b/>
      <sz val="10"/>
      <color rgb="FF1A1A1A"/>
      <name val="Calibri"/>
      <charset val="1"/>
    </font>
    <font>
      <b/>
      <sz val="10"/>
      <color rgb="FF2A6B4F"/>
      <name val="Calibri"/>
      <charset val="1"/>
    </font>
    <font>
      <sz val="9"/>
      <color rgb="FF1A1A1A"/>
      <name val="Calibri"/>
      <charset val="1"/>
    </font>
    <font>
      <b/>
      <sz val="9"/>
      <color rgb="FF5B6B7B"/>
      <name val="Calibri"/>
      <charset val="1"/>
    </font>
    <font>
      <b/>
      <sz val="9"/>
      <color rgb="FF1F4E79"/>
      <name val="Calibri"/>
      <charset val="1"/>
    </font>
    <font>
      <sz val="10"/>
      <color rgb="FF1F4E79"/>
      <name val="Calibri"/>
      <charset val="1"/>
    </font>
    <font>
      <sz val="9"/>
      <color rgb="FF2A6B4F"/>
      <name val="Calibri"/>
      <charset val="1"/>
    </font>
    <font>
      <sz val="8.5"/>
      <color rgb="FF5B6B7B"/>
      <name val="Calibri"/>
      <charset val="1"/>
    </font>
    <font>
      <b/>
      <sz val="10"/>
      <color rgb="FF5B6B7B"/>
      <name val="Calibri"/>
      <charset val="1"/>
    </font>
    <font>
      <b/>
      <sz val="9"/>
      <color rgb="FF142F4B"/>
      <name val="Calibri"/>
      <charset val="1"/>
    </font>
    <font>
      <sz val="10"/>
      <color rgb="FF2A6B4F"/>
      <name val="Calibri"/>
      <charset val="1"/>
    </font>
    <font>
      <b/>
      <sz val="8.5"/>
      <color rgb="FF5B6B7B"/>
      <name val="Calibri"/>
      <charset val="1"/>
    </font>
    <font>
      <b/>
      <sz val="14"/>
      <color rgb="FF142F4B"/>
      <name val="Calibri"/>
      <charset val="1"/>
    </font>
    <font>
      <b/>
      <sz val="9.5"/>
      <color rgb="FF142F4B"/>
      <name val="Calibri"/>
      <charset val="1"/>
    </font>
    <font>
      <sz val="9.5"/>
      <color rgb="FF5B6B7B"/>
      <name val="Calibri"/>
      <charset val="1"/>
    </font>
    <font>
      <b/>
      <sz val="10.5"/>
      <color rgb="FF142F4B"/>
      <name val="Calibri"/>
      <charset val="1"/>
    </font>
    <font>
      <b/>
      <sz val="15"/>
      <color rgb="FF142F4B"/>
      <name val="Calibri"/>
      <charset val="1"/>
    </font>
    <font>
      <sz val="9.5"/>
      <color rgb="FF1A1A1A"/>
      <name val="Calibri"/>
      <charset val="1"/>
    </font>
    <font>
      <b/>
      <sz val="12"/>
      <color rgb="FF142F4B"/>
      <name val="Calibri"/>
      <charset val="1"/>
    </font>
    <font>
      <b/>
      <sz val="12"/>
      <color rgb="FF2E6B38"/>
      <name val="Calibri"/>
      <charset val="1"/>
    </font>
    <font>
      <b/>
      <sz val="10"/>
      <color rgb="FF2E6B38"/>
      <name val="Calibri"/>
      <charset val="1"/>
    </font>
    <font>
      <b/>
      <sz val="11"/>
      <color theme="1"/>
      <name val="Calibri"/>
      <family val="2"/>
    </font>
    <font>
      <b/>
      <sz val="16"/>
      <color rgb="FFFFFFFF"/>
      <name val="Calibri"/>
      <charset val="1"/>
    </font>
    <font>
      <sz val="11"/>
      <color rgb="FFFFFFFF"/>
      <name val="Calibri"/>
      <charset val="1"/>
    </font>
    <font>
      <sz val="9"/>
      <color rgb="FFFFFFFF"/>
      <name val="Calibri"/>
      <charset val="1"/>
    </font>
    <font>
      <sz val="10"/>
      <color rgb="FFBFD0E2"/>
      <name val="Calibri"/>
      <charset val="1"/>
    </font>
    <font>
      <sz val="11"/>
      <color rgb="FFBFD0E2"/>
      <name val="Calibri"/>
      <charset val="1"/>
    </font>
    <font>
      <sz val="9"/>
      <color rgb="FFBFD0E2"/>
      <name val="Calibri"/>
      <charset val="1"/>
    </font>
  </fonts>
  <fills count="12">
    <fill>
      <patternFill patternType="none"/>
    </fill>
    <fill>
      <patternFill patternType="gray125"/>
    </fill>
    <fill>
      <patternFill patternType="solid">
        <fgColor rgb="FFFBF1DC"/>
        <bgColor rgb="FFFBF2E2"/>
      </patternFill>
    </fill>
    <fill>
      <patternFill patternType="solid">
        <fgColor rgb="FFDCE5EE"/>
        <bgColor rgb="FFE2E8EE"/>
      </patternFill>
    </fill>
    <fill>
      <patternFill patternType="solid">
        <fgColor rgb="FFFFF6DA"/>
        <bgColor rgb="FFFBF1DC"/>
      </patternFill>
    </fill>
    <fill>
      <patternFill patternType="solid">
        <fgColor rgb="FFF4F7FA"/>
        <bgColor rgb="FFEEF2F7"/>
      </patternFill>
    </fill>
    <fill>
      <patternFill patternType="solid">
        <fgColor rgb="FFE8EEF4"/>
        <bgColor rgb="FFE7EFE7"/>
      </patternFill>
    </fill>
    <fill>
      <patternFill patternType="solid">
        <fgColor rgb="FFEEF2F7"/>
        <bgColor rgb="FFE8EEF4"/>
      </patternFill>
    </fill>
    <fill>
      <patternFill patternType="solid">
        <fgColor rgb="FFE7EFE7"/>
        <bgColor rgb="FFE4EFE4"/>
      </patternFill>
    </fill>
    <fill>
      <patternFill patternType="solid">
        <fgColor rgb="FFFBF2E2"/>
        <bgColor rgb="FFFBF1DC"/>
      </patternFill>
    </fill>
    <fill>
      <patternFill patternType="solid">
        <fgColor rgb="FFE4EFE4"/>
        <bgColor rgb="FFE7EFE7"/>
      </patternFill>
    </fill>
    <fill>
      <patternFill patternType="solid">
        <fgColor rgb="FF142F4B"/>
        <bgColor indexed="64"/>
      </patternFill>
    </fill>
  </fills>
  <borders count="24">
    <border>
      <left/>
      <right/>
      <top/>
      <bottom/>
      <diagonal/>
    </border>
    <border>
      <left/>
      <right/>
      <top/>
      <bottom style="medium">
        <color rgb="FF142F4B"/>
      </bottom>
      <diagonal/>
    </border>
    <border>
      <left/>
      <right/>
      <top style="thin">
        <color rgb="FFD9B776"/>
      </top>
      <bottom style="thin">
        <color rgb="FFD9B776"/>
      </bottom>
      <diagonal/>
    </border>
    <border>
      <left/>
      <right/>
      <top/>
      <bottom style="thin">
        <color rgb="FF142F4B"/>
      </bottom>
      <diagonal/>
    </border>
    <border>
      <left/>
      <right/>
      <top/>
      <bottom style="thin">
        <color rgb="FFAFC0D0"/>
      </bottom>
      <diagonal/>
    </border>
    <border>
      <left/>
      <right/>
      <top style="thin">
        <color rgb="FFAFC0D0"/>
      </top>
      <bottom style="double">
        <color rgb="FF142F4B"/>
      </bottom>
      <diagonal/>
    </border>
    <border>
      <left/>
      <right/>
      <top style="thin">
        <color rgb="FF142F4B"/>
      </top>
      <bottom/>
      <diagonal/>
    </border>
    <border>
      <left/>
      <right/>
      <top style="thin">
        <color rgb="FF142F4B"/>
      </top>
      <bottom style="double">
        <color rgb="FF142F4B"/>
      </bottom>
      <diagonal/>
    </border>
    <border>
      <left style="thin">
        <color rgb="FFAFC0D0"/>
      </left>
      <right style="thin">
        <color rgb="FFAFC0D0"/>
      </right>
      <top style="thin">
        <color rgb="FFAFC0D0"/>
      </top>
      <bottom style="thin">
        <color rgb="FFAFC0D0"/>
      </bottom>
      <diagonal/>
    </border>
    <border>
      <left style="medium">
        <color rgb="FF142F4B"/>
      </left>
      <right/>
      <top/>
      <bottom/>
      <diagonal/>
    </border>
    <border>
      <left style="medium">
        <color rgb="FF142F4B"/>
      </left>
      <right/>
      <top style="thin">
        <color rgb="FF142F4B"/>
      </top>
      <bottom/>
      <diagonal/>
    </border>
    <border>
      <left/>
      <right/>
      <top style="thin">
        <color rgb="FFAFC0D0"/>
      </top>
      <bottom/>
      <diagonal/>
    </border>
    <border>
      <left style="medium">
        <color rgb="FF142F4B"/>
      </left>
      <right/>
      <top style="thin">
        <color rgb="FFAFC0D0"/>
      </top>
      <bottom/>
      <diagonal/>
    </border>
    <border>
      <left style="medium">
        <color rgb="FF142F4B"/>
      </left>
      <right/>
      <top style="thin">
        <color rgb="FFAFC0D0"/>
      </top>
      <bottom style="double">
        <color rgb="FF142F4B"/>
      </bottom>
      <diagonal/>
    </border>
    <border>
      <left style="thin">
        <color rgb="FFAFC0D0"/>
      </left>
      <right/>
      <top style="thin">
        <color rgb="FFAFC0D0"/>
      </top>
      <bottom/>
      <diagonal/>
    </border>
    <border>
      <left/>
      <right style="thin">
        <color rgb="FFAFC0D0"/>
      </right>
      <top style="thin">
        <color rgb="FFAFC0D0"/>
      </top>
      <bottom/>
      <diagonal/>
    </border>
    <border>
      <left style="thin">
        <color rgb="FFAFC0D0"/>
      </left>
      <right style="thin">
        <color rgb="FFAFC0D0"/>
      </right>
      <top/>
      <bottom/>
      <diagonal/>
    </border>
    <border>
      <left style="thin">
        <color rgb="FFAFC0D0"/>
      </left>
      <right/>
      <top/>
      <bottom style="thin">
        <color rgb="FFAFC0D0"/>
      </bottom>
      <diagonal/>
    </border>
    <border>
      <left/>
      <right style="thin">
        <color rgb="FFAFC0D0"/>
      </right>
      <top/>
      <bottom style="thin">
        <color rgb="FFAFC0D0"/>
      </bottom>
      <diagonal/>
    </border>
    <border>
      <left/>
      <right/>
      <top/>
      <bottom style="double">
        <color rgb="FF142F4B"/>
      </bottom>
      <diagonal/>
    </border>
    <border>
      <left/>
      <right/>
      <top style="thin">
        <color rgb="FFE2E8EE"/>
      </top>
      <bottom/>
      <diagonal/>
    </border>
    <border>
      <left style="thin">
        <color rgb="FFAFC0D0"/>
      </left>
      <right/>
      <top/>
      <bottom/>
      <diagonal/>
    </border>
    <border>
      <left/>
      <right style="thin">
        <color rgb="FFAFC0D0"/>
      </right>
      <top/>
      <bottom/>
      <diagonal/>
    </border>
    <border>
      <left/>
      <right/>
      <top/>
      <bottom style="medium">
        <color rgb="FFC9A227"/>
      </bottom>
      <diagonal/>
    </border>
  </borders>
  <cellStyleXfs count="1">
    <xf numFmtId="0" fontId="0" fillId="0" borderId="0"/>
  </cellStyleXfs>
  <cellXfs count="198">
    <xf numFmtId="0" fontId="0" fillId="0" borderId="0" xfId="0"/>
    <xf numFmtId="0" fontId="2" fillId="0" borderId="0" xfId="0" applyFont="1" applyAlignment="1">
      <alignment horizontal="left" vertical="center" indent="1"/>
    </xf>
    <xf numFmtId="0" fontId="2" fillId="0" borderId="0" xfId="0" applyFont="1" applyAlignment="1">
      <alignment horizontal="left" vertical="center" wrapText="1" indent="1"/>
    </xf>
    <xf numFmtId="0" fontId="1" fillId="0" borderId="0" xfId="0" applyFont="1"/>
    <xf numFmtId="0" fontId="2" fillId="0" borderId="0" xfId="0" applyFont="1" applyAlignment="1">
      <alignment horizontal="right" vertical="center"/>
    </xf>
    <xf numFmtId="0" fontId="0" fillId="0" borderId="1" xfId="0" applyBorder="1"/>
    <xf numFmtId="0" fontId="4" fillId="0" borderId="1" xfId="0" applyFont="1" applyBorder="1" applyAlignment="1">
      <alignment horizontal="right" vertical="center"/>
    </xf>
    <xf numFmtId="0" fontId="5" fillId="0" borderId="0" xfId="0" applyFont="1"/>
    <xf numFmtId="0" fontId="5" fillId="2" borderId="2" xfId="0" applyFont="1" applyFill="1" applyBorder="1"/>
    <xf numFmtId="0" fontId="6" fillId="2" borderId="2" xfId="0" applyFont="1" applyFill="1" applyBorder="1" applyAlignment="1">
      <alignment horizontal="left" vertical="center"/>
    </xf>
    <xf numFmtId="0" fontId="7" fillId="2" borderId="2" xfId="0" applyFont="1" applyFill="1" applyBorder="1" applyAlignment="1">
      <alignment horizontal="left" vertical="center" wrapText="1"/>
    </xf>
    <xf numFmtId="0" fontId="2" fillId="0" borderId="0" xfId="0" applyFont="1" applyAlignment="1">
      <alignment vertical="center" wrapText="1"/>
    </xf>
    <xf numFmtId="0" fontId="8" fillId="3" borderId="3" xfId="0" applyFont="1" applyFill="1" applyBorder="1" applyAlignment="1">
      <alignment vertical="center"/>
    </xf>
    <xf numFmtId="0" fontId="9" fillId="0" borderId="0" xfId="0" applyFont="1" applyAlignment="1">
      <alignment horizontal="left" vertical="center" indent="1"/>
    </xf>
    <xf numFmtId="0" fontId="5" fillId="0" borderId="0" xfId="0" applyFont="1" applyAlignment="1">
      <alignment horizontal="left" vertical="center"/>
    </xf>
    <xf numFmtId="0" fontId="10" fillId="0" borderId="0" xfId="0" applyFont="1" applyAlignment="1">
      <alignment horizontal="left" vertical="center" indent="1"/>
    </xf>
    <xf numFmtId="0" fontId="11" fillId="4" borderId="0" xfId="0" applyFont="1" applyFill="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9" fillId="5" borderId="0" xfId="0" applyFont="1" applyFill="1" applyAlignment="1">
      <alignment horizontal="center" vertical="center"/>
    </xf>
    <xf numFmtId="0" fontId="14" fillId="0" borderId="0" xfId="0" applyFont="1" applyAlignment="1">
      <alignment horizontal="left" vertical="center" wrapText="1"/>
    </xf>
    <xf numFmtId="0" fontId="2" fillId="0" borderId="0" xfId="0" applyFont="1" applyAlignment="1">
      <alignment vertical="center"/>
    </xf>
    <xf numFmtId="0" fontId="15" fillId="0" borderId="0" xfId="0" applyFont="1" applyAlignment="1">
      <alignment horizontal="left" vertical="center"/>
    </xf>
    <xf numFmtId="0" fontId="16" fillId="4" borderId="0" xfId="0" applyFont="1" applyFill="1" applyAlignment="1">
      <alignment horizontal="center" vertical="center"/>
    </xf>
    <xf numFmtId="0" fontId="2" fillId="0" borderId="0" xfId="0" applyFont="1" applyAlignment="1">
      <alignment horizontal="left" vertical="center"/>
    </xf>
    <xf numFmtId="0" fontId="5" fillId="0" borderId="0" xfId="0" applyFont="1" applyAlignment="1">
      <alignment horizontal="left" vertical="center" indent="1"/>
    </xf>
    <xf numFmtId="164" fontId="17" fillId="4" borderId="0" xfId="0" applyNumberFormat="1" applyFont="1" applyFill="1" applyAlignment="1">
      <alignment horizontal="right" vertical="center"/>
    </xf>
    <xf numFmtId="2" fontId="17" fillId="4" borderId="0" xfId="0" applyNumberFormat="1" applyFont="1" applyFill="1" applyAlignment="1">
      <alignment horizontal="right" vertical="center"/>
    </xf>
    <xf numFmtId="165" fontId="17" fillId="4" borderId="0" xfId="0" applyNumberFormat="1" applyFont="1" applyFill="1" applyAlignment="1">
      <alignment horizontal="right" vertical="center"/>
    </xf>
    <xf numFmtId="166" fontId="17" fillId="4" borderId="0" xfId="0" applyNumberFormat="1" applyFont="1" applyFill="1" applyAlignment="1">
      <alignment horizontal="right" vertical="center"/>
    </xf>
    <xf numFmtId="0" fontId="12" fillId="0" borderId="0" xfId="0" applyFont="1" applyAlignment="1">
      <alignment horizontal="left" vertical="center"/>
    </xf>
    <xf numFmtId="165" fontId="12" fillId="0" borderId="0" xfId="0" applyNumberFormat="1" applyFont="1" applyAlignment="1">
      <alignment horizontal="right" vertical="center"/>
    </xf>
    <xf numFmtId="1" fontId="17" fillId="4" borderId="0" xfId="0" applyNumberFormat="1" applyFont="1" applyFill="1" applyAlignment="1">
      <alignment horizontal="right" vertical="center"/>
    </xf>
    <xf numFmtId="165" fontId="5" fillId="0" borderId="0" xfId="0" applyNumberFormat="1" applyFont="1" applyAlignment="1">
      <alignment horizontal="right" vertical="center"/>
    </xf>
    <xf numFmtId="0" fontId="17" fillId="4" borderId="0" xfId="0" applyFont="1" applyFill="1" applyAlignment="1">
      <alignment horizontal="right" vertical="center"/>
    </xf>
    <xf numFmtId="0" fontId="9" fillId="0" borderId="4" xfId="0" applyFont="1" applyBorder="1" applyAlignment="1">
      <alignment horizontal="left" vertical="center"/>
    </xf>
    <xf numFmtId="0" fontId="1" fillId="0" borderId="4" xfId="0" applyFont="1" applyBorder="1"/>
    <xf numFmtId="0" fontId="2" fillId="0" borderId="4" xfId="0" applyFont="1" applyBorder="1" applyAlignment="1">
      <alignment horizontal="left" vertical="center"/>
    </xf>
    <xf numFmtId="0" fontId="2" fillId="0" borderId="4" xfId="0" applyFont="1"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165" fontId="2" fillId="0" borderId="5" xfId="0" applyNumberFormat="1" applyFont="1" applyBorder="1" applyAlignment="1">
      <alignment horizontal="left" vertical="center"/>
    </xf>
    <xf numFmtId="165" fontId="2" fillId="0" borderId="5" xfId="0" applyNumberFormat="1" applyFont="1" applyBorder="1" applyAlignment="1">
      <alignment horizontal="right" vertical="center"/>
    </xf>
    <xf numFmtId="165" fontId="12" fillId="0" borderId="5" xfId="0" applyNumberFormat="1" applyFont="1" applyBorder="1" applyAlignment="1">
      <alignment horizontal="right" vertical="center"/>
    </xf>
    <xf numFmtId="0" fontId="9" fillId="0" borderId="0" xfId="0" applyFont="1" applyAlignment="1">
      <alignment horizontal="right" vertical="center"/>
    </xf>
    <xf numFmtId="2" fontId="2" fillId="0" borderId="0" xfId="0" applyNumberFormat="1" applyFont="1" applyAlignment="1">
      <alignment horizontal="right" vertical="center"/>
    </xf>
    <xf numFmtId="2" fontId="17" fillId="4" borderId="0" xfId="0" applyNumberFormat="1" applyFont="1" applyFill="1" applyAlignment="1">
      <alignment horizontal="center" vertical="center"/>
    </xf>
    <xf numFmtId="1" fontId="17" fillId="4" borderId="0" xfId="0" applyNumberFormat="1" applyFont="1" applyFill="1" applyAlignment="1">
      <alignment horizontal="center" vertical="center"/>
    </xf>
    <xf numFmtId="0" fontId="9" fillId="3" borderId="1" xfId="0" applyFont="1" applyFill="1" applyBorder="1" applyAlignment="1">
      <alignment horizontal="left" vertical="center"/>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1" fontId="2" fillId="0" borderId="0" xfId="0" applyNumberFormat="1" applyFont="1" applyAlignment="1">
      <alignment horizontal="center" vertical="center"/>
    </xf>
    <xf numFmtId="167" fontId="18" fillId="0" borderId="0" xfId="0" applyNumberFormat="1" applyFont="1" applyAlignment="1">
      <alignment horizontal="center" vertical="center"/>
    </xf>
    <xf numFmtId="167" fontId="2" fillId="0" borderId="0" xfId="0" applyNumberFormat="1" applyFont="1" applyAlignment="1">
      <alignment horizontal="center" vertical="center"/>
    </xf>
    <xf numFmtId="0" fontId="2" fillId="0" borderId="4" xfId="0" applyFont="1" applyBorder="1" applyAlignment="1">
      <alignment horizontal="left" vertical="center" indent="1"/>
    </xf>
    <xf numFmtId="167" fontId="2" fillId="0" borderId="4" xfId="0" applyNumberFormat="1" applyFont="1" applyBorder="1" applyAlignment="1">
      <alignment horizontal="center" vertical="center"/>
    </xf>
    <xf numFmtId="0" fontId="9" fillId="6" borderId="0" xfId="0" applyFont="1" applyFill="1" applyAlignment="1">
      <alignment horizontal="left" vertical="center"/>
    </xf>
    <xf numFmtId="0" fontId="19" fillId="6" borderId="0" xfId="0" applyFont="1" applyFill="1" applyAlignment="1">
      <alignment horizontal="left" vertical="center"/>
    </xf>
    <xf numFmtId="165" fontId="9" fillId="6" borderId="6" xfId="0" applyNumberFormat="1" applyFont="1" applyFill="1" applyBorder="1" applyAlignment="1">
      <alignment horizontal="right" vertical="center"/>
    </xf>
    <xf numFmtId="0" fontId="19" fillId="0" borderId="0" xfId="0" applyFont="1" applyAlignment="1">
      <alignment horizontal="left" vertical="center"/>
    </xf>
    <xf numFmtId="165" fontId="3" fillId="0" borderId="0" xfId="0" applyNumberFormat="1" applyFont="1" applyAlignment="1">
      <alignment horizontal="right" vertical="center"/>
    </xf>
    <xf numFmtId="0" fontId="2" fillId="6" borderId="0" xfId="0" applyFont="1" applyFill="1" applyAlignment="1">
      <alignment vertical="center"/>
    </xf>
    <xf numFmtId="0" fontId="9" fillId="0" borderId="0" xfId="0" applyFont="1" applyAlignment="1">
      <alignment horizontal="left" vertical="center"/>
    </xf>
    <xf numFmtId="165" fontId="9" fillId="0" borderId="0" xfId="0" applyNumberFormat="1" applyFont="1" applyAlignment="1">
      <alignment horizontal="right" vertical="center"/>
    </xf>
    <xf numFmtId="0" fontId="8" fillId="6" borderId="7" xfId="0" applyFont="1" applyFill="1" applyBorder="1" applyAlignment="1">
      <alignment horizontal="left" vertical="center"/>
    </xf>
    <xf numFmtId="0" fontId="2" fillId="6" borderId="7" xfId="0" applyFont="1" applyFill="1" applyBorder="1" applyAlignment="1">
      <alignment vertical="center"/>
    </xf>
    <xf numFmtId="165" fontId="8" fillId="6" borderId="7" xfId="0" applyNumberFormat="1" applyFont="1" applyFill="1" applyBorder="1" applyAlignment="1">
      <alignment horizontal="right" vertical="center"/>
    </xf>
    <xf numFmtId="0" fontId="1" fillId="0" borderId="7" xfId="0" applyFont="1" applyBorder="1"/>
    <xf numFmtId="165" fontId="2" fillId="0" borderId="0" xfId="0" applyNumberFormat="1" applyFont="1" applyAlignment="1">
      <alignment horizontal="right" vertical="center"/>
    </xf>
    <xf numFmtId="168" fontId="9" fillId="5" borderId="8" xfId="0" applyNumberFormat="1" applyFont="1" applyFill="1" applyBorder="1" applyAlignment="1">
      <alignment horizontal="right" vertical="center"/>
    </xf>
    <xf numFmtId="168" fontId="8" fillId="5" borderId="8" xfId="0" applyNumberFormat="1" applyFont="1" applyFill="1" applyBorder="1" applyAlignment="1">
      <alignment horizontal="right" vertical="center"/>
    </xf>
    <xf numFmtId="1" fontId="9" fillId="5" borderId="8" xfId="0" applyNumberFormat="1" applyFont="1" applyFill="1" applyBorder="1" applyAlignment="1">
      <alignment horizontal="right" vertical="center"/>
    </xf>
    <xf numFmtId="167" fontId="9" fillId="5" borderId="8" xfId="0" applyNumberFormat="1" applyFont="1" applyFill="1" applyBorder="1" applyAlignment="1">
      <alignment horizontal="right" vertical="center"/>
    </xf>
    <xf numFmtId="169" fontId="9" fillId="5" borderId="8" xfId="0" applyNumberFormat="1" applyFont="1" applyFill="1" applyBorder="1" applyAlignment="1">
      <alignment horizontal="right" vertical="center"/>
    </xf>
    <xf numFmtId="0" fontId="20" fillId="7" borderId="4" xfId="0" applyFont="1" applyFill="1" applyBorder="1" applyAlignment="1">
      <alignment vertical="center"/>
    </xf>
    <xf numFmtId="0" fontId="14" fillId="0" borderId="0" xfId="0" applyFont="1" applyAlignment="1">
      <alignment horizontal="left" vertical="center" indent="1"/>
    </xf>
    <xf numFmtId="170" fontId="14" fillId="0" borderId="0" xfId="0" applyNumberFormat="1" applyFont="1" applyAlignment="1">
      <alignment horizontal="center" vertical="center"/>
    </xf>
    <xf numFmtId="165" fontId="18" fillId="0" borderId="0" xfId="0" applyNumberFormat="1" applyFont="1" applyAlignment="1">
      <alignment horizontal="right" vertical="center"/>
    </xf>
    <xf numFmtId="0" fontId="21" fillId="0" borderId="0" xfId="0" applyFont="1" applyAlignment="1">
      <alignment horizontal="left" vertical="center"/>
    </xf>
    <xf numFmtId="165" fontId="21" fillId="0" borderId="6" xfId="0" applyNumberFormat="1" applyFont="1" applyBorder="1" applyAlignment="1">
      <alignment horizontal="right" vertical="center"/>
    </xf>
    <xf numFmtId="165" fontId="14" fillId="0" borderId="0" xfId="0" applyNumberFormat="1" applyFont="1" applyAlignment="1">
      <alignment horizontal="right" vertical="center"/>
    </xf>
    <xf numFmtId="1" fontId="16" fillId="4" borderId="0" xfId="0" applyNumberFormat="1" applyFont="1" applyFill="1" applyAlignment="1">
      <alignment horizontal="center" vertical="center"/>
    </xf>
    <xf numFmtId="0" fontId="9" fillId="3" borderId="1" xfId="0" applyFont="1" applyFill="1" applyBorder="1" applyAlignment="1">
      <alignment horizontal="left" vertical="center" wrapText="1"/>
    </xf>
    <xf numFmtId="165" fontId="22" fillId="0" borderId="0" xfId="0" applyNumberFormat="1" applyFont="1" applyAlignment="1">
      <alignment horizontal="right" vertical="center"/>
    </xf>
    <xf numFmtId="165" fontId="12" fillId="0" borderId="9" xfId="0" applyNumberFormat="1" applyFont="1" applyBorder="1" applyAlignment="1">
      <alignment horizontal="right" vertical="center"/>
    </xf>
    <xf numFmtId="166" fontId="2" fillId="0" borderId="0" xfId="0" applyNumberFormat="1" applyFont="1" applyAlignment="1">
      <alignment horizontal="right" vertical="center"/>
    </xf>
    <xf numFmtId="0" fontId="9" fillId="0" borderId="6" xfId="0" applyFont="1" applyBorder="1" applyAlignment="1">
      <alignment horizontal="left" vertical="center"/>
    </xf>
    <xf numFmtId="0" fontId="1" fillId="0" borderId="6" xfId="0" applyFont="1" applyBorder="1"/>
    <xf numFmtId="165" fontId="9" fillId="6" borderId="10" xfId="0" applyNumberFormat="1" applyFont="1" applyFill="1" applyBorder="1" applyAlignment="1">
      <alignment horizontal="right" vertical="center"/>
    </xf>
    <xf numFmtId="166" fontId="2" fillId="6" borderId="6" xfId="0" applyNumberFormat="1" applyFont="1" applyFill="1" applyBorder="1" applyAlignment="1">
      <alignment horizontal="right" vertical="center"/>
    </xf>
    <xf numFmtId="166" fontId="5" fillId="0" borderId="0" xfId="0" applyNumberFormat="1" applyFont="1" applyAlignment="1">
      <alignment horizontal="right" vertical="center"/>
    </xf>
    <xf numFmtId="166" fontId="12" fillId="0" borderId="9" xfId="0" applyNumberFormat="1" applyFont="1" applyBorder="1" applyAlignment="1">
      <alignment horizontal="right" vertical="center"/>
    </xf>
    <xf numFmtId="166" fontId="2" fillId="0" borderId="0" xfId="0" applyNumberFormat="1" applyFont="1" applyAlignment="1">
      <alignment horizontal="center" vertical="center"/>
    </xf>
    <xf numFmtId="0" fontId="12" fillId="0" borderId="0" xfId="0" applyFont="1" applyAlignment="1">
      <alignment horizontal="left" vertical="center" indent="1"/>
    </xf>
    <xf numFmtId="165" fontId="5" fillId="0" borderId="11" xfId="0" applyNumberFormat="1" applyFont="1" applyBorder="1" applyAlignment="1">
      <alignment horizontal="right" vertical="center"/>
    </xf>
    <xf numFmtId="165" fontId="12" fillId="0" borderId="12" xfId="0" applyNumberFormat="1" applyFont="1" applyBorder="1" applyAlignment="1">
      <alignment horizontal="right" vertical="center"/>
    </xf>
    <xf numFmtId="0" fontId="1" fillId="0" borderId="11" xfId="0" applyFont="1" applyBorder="1"/>
    <xf numFmtId="0" fontId="8" fillId="0" borderId="6" xfId="0" applyFont="1" applyBorder="1" applyAlignment="1">
      <alignment horizontal="left" vertical="center"/>
    </xf>
    <xf numFmtId="0" fontId="1" fillId="6" borderId="6" xfId="0" applyFont="1" applyFill="1" applyBorder="1"/>
    <xf numFmtId="165" fontId="5" fillId="0" borderId="5" xfId="0" applyNumberFormat="1" applyFont="1" applyBorder="1" applyAlignment="1">
      <alignment horizontal="right" vertical="center"/>
    </xf>
    <xf numFmtId="165" fontId="12" fillId="0" borderId="13" xfId="0" applyNumberFormat="1" applyFont="1" applyBorder="1" applyAlignment="1">
      <alignment horizontal="right" vertical="center"/>
    </xf>
    <xf numFmtId="171" fontId="2" fillId="0" borderId="9" xfId="0" applyNumberFormat="1" applyFont="1" applyBorder="1" applyAlignment="1">
      <alignment horizontal="right" vertical="center"/>
    </xf>
    <xf numFmtId="0" fontId="23" fillId="5" borderId="14" xfId="0" applyFont="1" applyFill="1" applyBorder="1" applyAlignment="1">
      <alignment horizontal="left" vertical="center" indent="1"/>
    </xf>
    <xf numFmtId="0" fontId="9" fillId="5" borderId="15" xfId="0" applyFont="1" applyFill="1" applyBorder="1"/>
    <xf numFmtId="0" fontId="19" fillId="5" borderId="17" xfId="0" applyFont="1" applyFill="1" applyBorder="1" applyAlignment="1">
      <alignment horizontal="left" vertical="center" indent="1"/>
    </xf>
    <xf numFmtId="0" fontId="1" fillId="5" borderId="18" xfId="0" applyFont="1" applyFill="1" applyBorder="1"/>
    <xf numFmtId="165" fontId="9" fillId="0" borderId="6" xfId="0" applyNumberFormat="1" applyFont="1" applyBorder="1" applyAlignment="1">
      <alignment horizontal="right" vertical="center"/>
    </xf>
    <xf numFmtId="0" fontId="1" fillId="5" borderId="15" xfId="0" applyFont="1" applyFill="1" applyBorder="1"/>
    <xf numFmtId="0" fontId="20" fillId="5" borderId="18" xfId="0" applyFont="1" applyFill="1" applyBorder="1"/>
    <xf numFmtId="0" fontId="20" fillId="0" borderId="0" xfId="0" applyFont="1"/>
    <xf numFmtId="165" fontId="8" fillId="5" borderId="7" xfId="0" applyNumberFormat="1" applyFont="1" applyFill="1" applyBorder="1" applyAlignment="1">
      <alignment horizontal="right" vertical="center"/>
    </xf>
    <xf numFmtId="0" fontId="9" fillId="0" borderId="0" xfId="0" applyFont="1"/>
    <xf numFmtId="165" fontId="9" fillId="5" borderId="7" xfId="0" applyNumberFormat="1" applyFont="1" applyFill="1" applyBorder="1" applyAlignment="1">
      <alignment horizontal="right" vertical="center"/>
    </xf>
    <xf numFmtId="165" fontId="9" fillId="5" borderId="6" xfId="0" applyNumberFormat="1" applyFont="1" applyFill="1" applyBorder="1" applyAlignment="1">
      <alignment horizontal="right" vertical="center"/>
    </xf>
    <xf numFmtId="166" fontId="9" fillId="0" borderId="6" xfId="0" applyNumberFormat="1" applyFont="1" applyBorder="1" applyAlignment="1">
      <alignment horizontal="right" vertical="center"/>
    </xf>
    <xf numFmtId="166" fontId="17" fillId="4" borderId="0" xfId="0" applyNumberFormat="1" applyFont="1" applyFill="1" applyAlignment="1">
      <alignment horizontal="center" vertical="center"/>
    </xf>
    <xf numFmtId="0" fontId="25" fillId="3" borderId="3" xfId="0" applyFont="1" applyFill="1" applyBorder="1" applyAlignment="1">
      <alignment horizontal="left" vertical="center" wrapText="1"/>
    </xf>
    <xf numFmtId="0" fontId="25" fillId="3" borderId="3" xfId="0" applyFont="1" applyFill="1" applyBorder="1" applyAlignment="1">
      <alignment horizontal="center" vertical="center" wrapText="1"/>
    </xf>
    <xf numFmtId="166" fontId="26" fillId="0" borderId="0" xfId="0" applyNumberFormat="1" applyFont="1" applyAlignment="1">
      <alignment horizontal="center" vertical="center"/>
    </xf>
    <xf numFmtId="0" fontId="9"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172" fontId="17" fillId="4" borderId="0" xfId="0" applyNumberFormat="1" applyFont="1" applyFill="1" applyAlignment="1">
      <alignment horizontal="center" vertical="center"/>
    </xf>
    <xf numFmtId="165" fontId="17" fillId="4" borderId="0" xfId="0" applyNumberFormat="1" applyFont="1" applyFill="1" applyAlignment="1">
      <alignment horizontal="center" vertical="center"/>
    </xf>
    <xf numFmtId="165" fontId="3" fillId="6" borderId="6" xfId="0" applyNumberFormat="1" applyFont="1" applyFill="1" applyBorder="1" applyAlignment="1">
      <alignment horizontal="right" vertical="center"/>
    </xf>
    <xf numFmtId="166" fontId="3" fillId="0" borderId="0" xfId="0" applyNumberFormat="1" applyFont="1" applyAlignment="1">
      <alignment horizontal="right" vertical="center"/>
    </xf>
    <xf numFmtId="0" fontId="2" fillId="0" borderId="0" xfId="0" applyFont="1" applyAlignment="1">
      <alignment horizontal="left" vertical="center" indent="2"/>
    </xf>
    <xf numFmtId="1" fontId="5" fillId="0" borderId="0" xfId="0" applyNumberFormat="1" applyFont="1" applyAlignment="1">
      <alignment horizontal="right" vertical="center"/>
    </xf>
    <xf numFmtId="169" fontId="5" fillId="0" borderId="0" xfId="0" applyNumberFormat="1" applyFont="1" applyAlignment="1">
      <alignment horizontal="right" vertical="center"/>
    </xf>
    <xf numFmtId="166" fontId="27" fillId="5" borderId="8" xfId="0" applyNumberFormat="1" applyFont="1" applyFill="1" applyBorder="1" applyAlignment="1">
      <alignment horizontal="right" vertical="center"/>
    </xf>
    <xf numFmtId="165" fontId="27" fillId="0" borderId="0" xfId="0" applyNumberFormat="1" applyFont="1" applyAlignment="1">
      <alignment horizontal="right" vertical="center"/>
    </xf>
    <xf numFmtId="165" fontId="27" fillId="5" borderId="8" xfId="0" applyNumberFormat="1" applyFont="1" applyFill="1" applyBorder="1" applyAlignment="1">
      <alignment horizontal="right" vertical="center"/>
    </xf>
    <xf numFmtId="173" fontId="27" fillId="5" borderId="8" xfId="0" applyNumberFormat="1" applyFont="1" applyFill="1" applyBorder="1" applyAlignment="1">
      <alignment horizontal="right" vertical="center"/>
    </xf>
    <xf numFmtId="0" fontId="15" fillId="7" borderId="4" xfId="0" applyFont="1" applyFill="1" applyBorder="1" applyAlignment="1">
      <alignment horizontal="left" vertical="center"/>
    </xf>
    <xf numFmtId="0" fontId="15" fillId="7" borderId="4" xfId="0" applyFont="1" applyFill="1" applyBorder="1" applyAlignment="1">
      <alignment horizontal="center" vertical="center"/>
    </xf>
    <xf numFmtId="0" fontId="15" fillId="7" borderId="4" xfId="0" applyFont="1" applyFill="1" applyBorder="1" applyAlignment="1">
      <alignment horizontal="center" vertical="center" wrapText="1"/>
    </xf>
    <xf numFmtId="170" fontId="18" fillId="0" borderId="0" xfId="0" applyNumberFormat="1" applyFont="1" applyAlignment="1">
      <alignment horizontal="center" vertical="center"/>
    </xf>
    <xf numFmtId="165" fontId="21" fillId="6" borderId="5" xfId="0" applyNumberFormat="1" applyFont="1" applyFill="1" applyBorder="1" applyAlignment="1">
      <alignment horizontal="right" vertical="center"/>
    </xf>
    <xf numFmtId="165" fontId="21" fillId="6" borderId="0" xfId="0" applyNumberFormat="1" applyFont="1" applyFill="1" applyAlignment="1">
      <alignment horizontal="right" vertical="center"/>
    </xf>
    <xf numFmtId="165" fontId="21" fillId="6" borderId="19" xfId="0" applyNumberFormat="1" applyFont="1" applyFill="1" applyBorder="1" applyAlignment="1">
      <alignment horizontal="right" vertical="center"/>
    </xf>
    <xf numFmtId="0" fontId="5" fillId="5" borderId="11" xfId="0" applyFont="1" applyFill="1" applyBorder="1"/>
    <xf numFmtId="0" fontId="5" fillId="5" borderId="15" xfId="0" applyFont="1" applyFill="1" applyBorder="1"/>
    <xf numFmtId="0" fontId="5" fillId="5" borderId="4" xfId="0" applyFont="1" applyFill="1" applyBorder="1"/>
    <xf numFmtId="0" fontId="5" fillId="5" borderId="18" xfId="0" applyFont="1" applyFill="1" applyBorder="1"/>
    <xf numFmtId="0" fontId="19" fillId="0" borderId="0" xfId="0" applyFont="1" applyAlignment="1">
      <alignment horizontal="left" vertical="center" indent="1"/>
    </xf>
    <xf numFmtId="0" fontId="21" fillId="0" borderId="4" xfId="0" applyFont="1" applyBorder="1" applyAlignment="1">
      <alignment vertical="center"/>
    </xf>
    <xf numFmtId="0" fontId="18" fillId="0" borderId="0" xfId="0" applyFont="1" applyAlignment="1">
      <alignment vertical="center"/>
    </xf>
    <xf numFmtId="165" fontId="18" fillId="0" borderId="0" xfId="0" applyNumberFormat="1" applyFont="1" applyAlignment="1">
      <alignment vertical="center"/>
    </xf>
    <xf numFmtId="0" fontId="14" fillId="0" borderId="0" xfId="0" applyFont="1" applyAlignment="1">
      <alignment vertical="center"/>
    </xf>
    <xf numFmtId="0" fontId="9" fillId="3" borderId="1" xfId="0" applyFont="1" applyFill="1" applyBorder="1" applyAlignment="1">
      <alignment horizontal="left" vertical="center" indent="1"/>
    </xf>
    <xf numFmtId="0" fontId="25" fillId="0" borderId="0" xfId="0" applyFont="1" applyAlignment="1">
      <alignment horizontal="left" vertical="top" wrapText="1" indent="1"/>
    </xf>
    <xf numFmtId="0" fontId="29" fillId="0" borderId="0" xfId="0" applyFont="1" applyAlignment="1">
      <alignment horizontal="left" vertical="top" wrapText="1" indent="1"/>
    </xf>
    <xf numFmtId="0" fontId="30" fillId="0" borderId="0" xfId="0" applyFont="1" applyAlignment="1">
      <alignment horizontal="left" vertical="center"/>
    </xf>
    <xf numFmtId="0" fontId="31" fillId="10" borderId="8" xfId="0" applyFont="1" applyFill="1" applyBorder="1" applyAlignment="1">
      <alignment horizontal="center" vertical="center"/>
    </xf>
    <xf numFmtId="0" fontId="3" fillId="0" borderId="0" xfId="0" applyFont="1" applyAlignment="1">
      <alignment horizontal="left" vertical="center" indent="1"/>
    </xf>
    <xf numFmtId="0" fontId="29" fillId="0" borderId="6" xfId="0" applyFont="1" applyBorder="1" applyAlignment="1">
      <alignment horizontal="left" vertical="center" wrapText="1" indent="1"/>
    </xf>
    <xf numFmtId="171" fontId="26" fillId="0" borderId="6" xfId="0" applyNumberFormat="1" applyFont="1" applyBorder="1" applyAlignment="1">
      <alignment horizontal="right" vertical="center"/>
    </xf>
    <xf numFmtId="171" fontId="29" fillId="0" borderId="6" xfId="0" applyNumberFormat="1" applyFont="1" applyBorder="1" applyAlignment="1">
      <alignment horizontal="right" vertical="center"/>
    </xf>
    <xf numFmtId="174" fontId="26" fillId="0" borderId="6" xfId="0" applyNumberFormat="1" applyFont="1" applyBorder="1" applyAlignment="1">
      <alignment horizontal="right" vertical="center"/>
    </xf>
    <xf numFmtId="0" fontId="32" fillId="0" borderId="6" xfId="0" applyFont="1" applyBorder="1" applyAlignment="1">
      <alignment horizontal="center" vertical="center"/>
    </xf>
    <xf numFmtId="0" fontId="29" fillId="0" borderId="20" xfId="0" applyFont="1" applyBorder="1" applyAlignment="1">
      <alignment horizontal="left" vertical="center" wrapText="1" indent="1"/>
    </xf>
    <xf numFmtId="171" fontId="26" fillId="0" borderId="20" xfId="0" applyNumberFormat="1" applyFont="1" applyBorder="1" applyAlignment="1">
      <alignment horizontal="right" vertical="center"/>
    </xf>
    <xf numFmtId="171" fontId="29" fillId="0" borderId="20" xfId="0" applyNumberFormat="1" applyFont="1" applyBorder="1" applyAlignment="1">
      <alignment horizontal="right" vertical="center"/>
    </xf>
    <xf numFmtId="174" fontId="26" fillId="0" borderId="20" xfId="0" applyNumberFormat="1" applyFont="1" applyBorder="1" applyAlignment="1">
      <alignment horizontal="right" vertical="center"/>
    </xf>
    <xf numFmtId="0" fontId="32" fillId="0" borderId="20" xfId="0" applyFont="1" applyBorder="1" applyAlignment="1">
      <alignment horizontal="center" vertical="center"/>
    </xf>
    <xf numFmtId="1" fontId="0" fillId="0" borderId="0" xfId="0" applyNumberFormat="1"/>
    <xf numFmtId="170" fontId="0" fillId="0" borderId="0" xfId="0" applyNumberFormat="1"/>
    <xf numFmtId="0" fontId="33" fillId="0" borderId="0" xfId="0" applyFont="1"/>
    <xf numFmtId="170" fontId="33" fillId="0" borderId="0" xfId="0" applyNumberFormat="1" applyFont="1"/>
    <xf numFmtId="167" fontId="0" fillId="0" borderId="0" xfId="0" applyNumberFormat="1"/>
    <xf numFmtId="175" fontId="0" fillId="0" borderId="0" xfId="0" applyNumberFormat="1"/>
    <xf numFmtId="176" fontId="25" fillId="3" borderId="3" xfId="0" applyNumberFormat="1" applyFont="1" applyFill="1" applyBorder="1" applyAlignment="1">
      <alignment horizontal="center" vertical="center" wrapText="1"/>
    </xf>
    <xf numFmtId="177" fontId="25" fillId="3" borderId="3" xfId="0" applyNumberFormat="1" applyFont="1" applyFill="1" applyBorder="1" applyAlignment="1">
      <alignment horizontal="center" vertical="center" wrapText="1"/>
    </xf>
    <xf numFmtId="0" fontId="8" fillId="0" borderId="3" xfId="0" applyFont="1" applyBorder="1" applyAlignment="1">
      <alignment vertical="center"/>
    </xf>
    <xf numFmtId="0" fontId="34" fillId="11" borderId="0" xfId="0" applyFont="1" applyFill="1" applyAlignment="1">
      <alignment horizontal="left" vertical="center"/>
    </xf>
    <xf numFmtId="0" fontId="36" fillId="11" borderId="0" xfId="0" applyFont="1" applyFill="1" applyAlignment="1">
      <alignment horizontal="right" vertical="center"/>
    </xf>
    <xf numFmtId="0" fontId="35" fillId="11" borderId="0" xfId="0" applyFont="1" applyFill="1" applyAlignment="1">
      <alignment vertical="center"/>
    </xf>
    <xf numFmtId="0" fontId="37" fillId="11" borderId="23" xfId="0" applyFont="1" applyFill="1" applyBorder="1" applyAlignment="1">
      <alignment horizontal="left" vertical="center"/>
    </xf>
    <xf numFmtId="0" fontId="38" fillId="11" borderId="23" xfId="0" applyFont="1" applyFill="1" applyBorder="1" applyAlignment="1">
      <alignment vertical="center"/>
    </xf>
    <xf numFmtId="0" fontId="39" fillId="11" borderId="23" xfId="0" applyFont="1" applyFill="1" applyBorder="1" applyAlignment="1">
      <alignment horizontal="right" vertical="center"/>
    </xf>
    <xf numFmtId="1" fontId="15" fillId="0" borderId="6" xfId="0" applyNumberFormat="1" applyFont="1" applyBorder="1" applyAlignment="1">
      <alignment horizontal="left" vertical="top" indent="1"/>
    </xf>
    <xf numFmtId="1" fontId="15" fillId="0" borderId="6" xfId="0" applyNumberFormat="1" applyFont="1" applyBorder="1" applyAlignment="1">
      <alignment horizontal="left" vertical="top" wrapText="1" indent="1"/>
    </xf>
    <xf numFmtId="1" fontId="15" fillId="0" borderId="0" xfId="0" applyNumberFormat="1" applyFont="1" applyAlignment="1">
      <alignment horizontal="left" vertical="top" wrapText="1" indent="1"/>
    </xf>
    <xf numFmtId="0" fontId="5" fillId="0" borderId="0" xfId="0" applyFont="1" applyAlignment="1">
      <alignment horizontal="left" vertical="center" wrapText="1" indent="1"/>
    </xf>
    <xf numFmtId="168" fontId="28" fillId="5" borderId="21" xfId="0" applyNumberFormat="1" applyFont="1" applyFill="1" applyBorder="1" applyAlignment="1">
      <alignment horizontal="left" vertical="center"/>
    </xf>
    <xf numFmtId="168" fontId="28" fillId="5" borderId="0" xfId="0" applyNumberFormat="1" applyFont="1" applyFill="1" applyAlignment="1">
      <alignment horizontal="left" vertical="center"/>
    </xf>
    <xf numFmtId="168" fontId="28" fillId="5" borderId="22" xfId="0" applyNumberFormat="1" applyFont="1" applyFill="1" applyBorder="1" applyAlignment="1">
      <alignment horizontal="left" vertical="center"/>
    </xf>
    <xf numFmtId="169" fontId="28" fillId="5" borderId="21" xfId="0" applyNumberFormat="1" applyFont="1" applyFill="1" applyBorder="1" applyAlignment="1">
      <alignment horizontal="left" vertical="center"/>
    </xf>
    <xf numFmtId="169" fontId="28" fillId="5" borderId="0" xfId="0" applyNumberFormat="1" applyFont="1" applyFill="1" applyAlignment="1">
      <alignment horizontal="left" vertical="center"/>
    </xf>
    <xf numFmtId="169" fontId="28" fillId="5" borderId="22" xfId="0" applyNumberFormat="1" applyFont="1" applyFill="1" applyBorder="1" applyAlignment="1">
      <alignment horizontal="left" vertical="center"/>
    </xf>
    <xf numFmtId="166" fontId="28" fillId="5" borderId="21" xfId="0" applyNumberFormat="1" applyFont="1" applyFill="1" applyBorder="1" applyAlignment="1">
      <alignment horizontal="left" vertical="center"/>
    </xf>
    <xf numFmtId="166" fontId="28" fillId="5" borderId="0" xfId="0" applyNumberFormat="1" applyFont="1" applyFill="1" applyAlignment="1">
      <alignment horizontal="left" vertical="center"/>
    </xf>
    <xf numFmtId="166" fontId="28" fillId="5" borderId="22" xfId="0" applyNumberFormat="1" applyFont="1" applyFill="1" applyBorder="1" applyAlignment="1">
      <alignment horizontal="left" vertical="center"/>
    </xf>
    <xf numFmtId="0" fontId="27" fillId="7" borderId="6" xfId="0" applyFont="1" applyFill="1" applyBorder="1" applyAlignment="1">
      <alignment horizontal="left" vertical="center" indent="1"/>
    </xf>
    <xf numFmtId="0" fontId="2" fillId="0" borderId="0" xfId="0" applyFont="1" applyAlignment="1">
      <alignment horizontal="left" vertical="center" indent="1"/>
    </xf>
    <xf numFmtId="0" fontId="27" fillId="5" borderId="4" xfId="0" applyFont="1" applyFill="1" applyBorder="1" applyAlignment="1">
      <alignment horizontal="left" vertical="center" indent="1"/>
    </xf>
    <xf numFmtId="0" fontId="2" fillId="0" borderId="0" xfId="0" applyFont="1" applyAlignment="1">
      <alignment horizontal="left" vertical="center" wrapText="1" indent="1"/>
    </xf>
    <xf numFmtId="168" fontId="24" fillId="5" borderId="16" xfId="0" applyNumberFormat="1" applyFont="1" applyFill="1" applyBorder="1" applyAlignment="1">
      <alignment horizontal="center" vertical="center"/>
    </xf>
    <xf numFmtId="166" fontId="24" fillId="5" borderId="16" xfId="0" applyNumberFormat="1" applyFont="1" applyFill="1" applyBorder="1" applyAlignment="1">
      <alignment horizontal="center" vertical="center"/>
    </xf>
  </cellXfs>
  <cellStyles count="1">
    <cellStyle name="Normal" xfId="0" builtinId="0"/>
  </cellStyles>
  <dxfs count="25">
    <dxf>
      <font>
        <b/>
        <i val="0"/>
        <sz val="10"/>
        <color rgb="FF9C2B2B"/>
        <name val="Calibri"/>
        <charset val="1"/>
      </font>
      <fill>
        <patternFill patternType="solid">
          <bgColor rgb="FFF5F0E1"/>
        </patternFill>
      </fill>
    </dxf>
    <dxf>
      <font>
        <b/>
        <i val="0"/>
        <sz val="10"/>
        <color rgb="FF2E6B38"/>
        <name val="Calibri"/>
        <charset val="1"/>
      </font>
      <fill>
        <patternFill patternType="none">
          <bgColor rgb="FFE4EFE4"/>
        </patternFill>
      </fill>
    </dxf>
    <dxf>
      <font>
        <b/>
        <sz val="12"/>
        <color rgb="FF9C2B2B"/>
        <name val="Calibri"/>
        <charset val="1"/>
      </font>
      <fill>
        <patternFill>
          <bgColor rgb="FFF8E4E4"/>
        </patternFill>
      </fill>
    </dxf>
    <dxf>
      <font>
        <b/>
        <sz val="12"/>
        <color rgb="FF2E6B38"/>
        <name val="Calibri"/>
        <charset val="1"/>
      </font>
      <fill>
        <patternFill>
          <bgColor rgb="FFE4EFE4"/>
        </patternFill>
      </fill>
    </dxf>
    <dxf>
      <font>
        <sz val="10"/>
        <color rgb="FF2E6B38"/>
        <name val="Calibri"/>
        <charset val="1"/>
      </font>
      <fill>
        <patternFill>
          <bgColor rgb="FFE4EFE4"/>
        </patternFill>
      </fill>
    </dxf>
    <dxf>
      <font>
        <sz val="10"/>
        <color rgb="FF8A5D0F"/>
        <name val="Calibri"/>
        <charset val="1"/>
      </font>
      <fill>
        <patternFill>
          <bgColor rgb="FFFBF1DC"/>
        </patternFill>
      </fill>
    </dxf>
    <dxf>
      <font>
        <sz val="10"/>
        <color rgb="FF9C2B2B"/>
        <name val="Calibri"/>
        <charset val="1"/>
      </font>
      <fill>
        <patternFill>
          <bgColor rgb="FFF8E4E4"/>
        </patternFill>
      </fill>
    </dxf>
    <dxf>
      <font>
        <sz val="10"/>
        <color rgb="FF2E6B38"/>
        <name val="Calibri"/>
        <charset val="1"/>
      </font>
      <fill>
        <patternFill>
          <bgColor rgb="FFE4EFE4"/>
        </patternFill>
      </fill>
    </dxf>
    <dxf>
      <font>
        <sz val="10"/>
        <color rgb="FF8A5D0F"/>
        <name val="Calibri"/>
        <charset val="1"/>
      </font>
      <fill>
        <patternFill>
          <bgColor rgb="FFFBF1DC"/>
        </patternFill>
      </fill>
    </dxf>
    <dxf>
      <font>
        <sz val="10"/>
        <color rgb="FF9C2B2B"/>
        <name val="Calibri"/>
        <charset val="1"/>
      </font>
      <fill>
        <patternFill>
          <bgColor rgb="FFF8E4E4"/>
        </patternFill>
      </fill>
    </dxf>
    <dxf>
      <font>
        <sz val="10"/>
        <color rgb="FF9C2B2B"/>
        <name val="Calibri"/>
        <charset val="1"/>
      </font>
    </dxf>
    <dxf>
      <font>
        <b/>
        <sz val="10"/>
        <color rgb="FF9C2B2B"/>
        <name val="Calibri"/>
        <charset val="1"/>
      </font>
    </dxf>
    <dxf>
      <font>
        <b/>
        <sz val="10"/>
        <color rgb="FF8A5D0F"/>
        <name val="Calibri"/>
        <charset val="1"/>
      </font>
      <fill>
        <patternFill>
          <bgColor rgb="FFFBF1DC"/>
        </patternFill>
      </fill>
    </dxf>
    <dxf>
      <font>
        <b/>
        <sz val="10"/>
        <color rgb="FF9C2B2B"/>
        <name val="Calibri"/>
        <charset val="1"/>
      </font>
    </dxf>
    <dxf>
      <font>
        <b/>
        <sz val="10"/>
        <color rgb="FF2E6B38"/>
        <name val="Calibri"/>
        <charset val="1"/>
      </font>
      <fill>
        <patternFill>
          <bgColor rgb="FFE4EFE4"/>
        </patternFill>
      </fill>
    </dxf>
    <dxf>
      <font>
        <sz val="10"/>
        <color rgb="FF9C2B2B"/>
        <name val="Calibri"/>
        <charset val="1"/>
      </font>
    </dxf>
    <dxf>
      <font>
        <b/>
        <sz val="10"/>
        <color rgb="FF2E6B38"/>
        <name val="Calibri"/>
        <charset val="1"/>
      </font>
      <fill>
        <patternFill>
          <bgColor rgb="FFE4EFE4"/>
        </patternFill>
      </fill>
    </dxf>
    <dxf>
      <font>
        <b/>
        <sz val="10"/>
        <color rgb="FF9C2B2B"/>
        <name val="Calibri"/>
        <charset val="1"/>
      </font>
    </dxf>
    <dxf>
      <font>
        <b/>
        <sz val="11"/>
        <color rgb="FF8A5D0F"/>
        <name val="Calibri"/>
        <charset val="1"/>
      </font>
      <fill>
        <patternFill>
          <bgColor rgb="FFFBF1DC"/>
        </patternFill>
      </fill>
    </dxf>
    <dxf>
      <font>
        <b/>
        <sz val="11"/>
        <color rgb="FF9C2B2B"/>
        <name val="Calibri"/>
        <charset val="1"/>
      </font>
      <fill>
        <patternFill>
          <bgColor rgb="FFF8E4E4"/>
        </patternFill>
      </fill>
    </dxf>
    <dxf>
      <font>
        <sz val="10"/>
        <color rgb="FF9C2B2B"/>
        <name val="Calibri"/>
        <charset val="1"/>
      </font>
    </dxf>
    <dxf>
      <font>
        <b/>
        <sz val="10"/>
        <color rgb="FF8A5D0F"/>
        <name val="Calibri"/>
        <charset val="1"/>
      </font>
      <fill>
        <patternFill>
          <bgColor rgb="FFFBF1DC"/>
        </patternFill>
      </fill>
    </dxf>
    <dxf>
      <font>
        <b/>
        <sz val="15"/>
        <color rgb="FF9C2B2B"/>
        <name val="Calibri"/>
        <charset val="1"/>
      </font>
    </dxf>
    <dxf>
      <font>
        <b/>
        <sz val="15"/>
        <color rgb="FF9C2B2B"/>
        <name val="Calibri"/>
        <charset val="1"/>
      </font>
    </dxf>
    <dxf>
      <font>
        <b/>
        <sz val="15"/>
        <color rgb="FF8A5D0F"/>
        <name val="Calibri"/>
        <charset val="1"/>
      </font>
    </dxf>
  </dxfs>
  <tableStyles count="0" defaultTableStyle="TableStyleMedium2" defaultPivotStyle="PivotStyleLight16"/>
  <colors>
    <indexedColors>
      <rgbColor rgb="FF000000"/>
      <rgbColor rgb="FFF4F7FA"/>
      <rgbColor rgb="FFFF0000"/>
      <rgbColor rgb="FF00FF00"/>
      <rgbColor rgb="FF0000FF"/>
      <rgbColor rgb="FFFBF2E2"/>
      <rgbColor rgb="FFFF00FF"/>
      <rgbColor rgb="FF00FFFF"/>
      <rgbColor rgb="FF800000"/>
      <rgbColor rgb="FF2E6B38"/>
      <rgbColor rgb="FF000080"/>
      <rgbColor rgb="FF8A5D0F"/>
      <rgbColor rgb="FF800080"/>
      <rgbColor rgb="FF2A6B4F"/>
      <rgbColor rgb="FFAFC0D0"/>
      <rgbColor rgb="FF808080"/>
      <rgbColor rgb="FFE2E8EE"/>
      <rgbColor rgb="FFC0504D"/>
      <rgbColor rgb="FFFFF6DA"/>
      <rgbColor rgb="FFE8EEF4"/>
      <rgbColor rgb="FF660066"/>
      <rgbColor rgb="FFFF8080"/>
      <rgbColor rgb="FF2E5C8A"/>
      <rgbColor rgb="FFDCE5EE"/>
      <rgbColor rgb="FF000080"/>
      <rgbColor rgb="FFFF00FF"/>
      <rgbColor rgb="FFEEF2F7"/>
      <rgbColor rgb="FF00FFFF"/>
      <rgbColor rgb="FF800080"/>
      <rgbColor rgb="FF800000"/>
      <rgbColor rgb="FF008080"/>
      <rgbColor rgb="FF0000FF"/>
      <rgbColor rgb="FF00CCFF"/>
      <rgbColor rgb="FFE7EFE7"/>
      <rgbColor rgb="FFE4EFE4"/>
      <rgbColor rgb="FFFBF1DC"/>
      <rgbColor rgb="FF9FC0DC"/>
      <rgbColor rgb="FFF8E4E4"/>
      <rgbColor rgb="FFB3B3B3"/>
      <rgbColor rgb="FFD9B776"/>
      <rgbColor rgb="FF3366FF"/>
      <rgbColor rgb="FF33CCCC"/>
      <rgbColor rgb="FF99CC00"/>
      <rgbColor rgb="FFFFCC00"/>
      <rgbColor rgb="FFC09A3E"/>
      <rgbColor rgb="FFFF6600"/>
      <rgbColor rgb="FF5B6B7B"/>
      <rgbColor rgb="FF8C99A6"/>
      <rgbColor rgb="FF142F4B"/>
      <rgbColor rgb="FF339966"/>
      <rgbColor rgb="FF003300"/>
      <rgbColor rgb="FF333300"/>
      <rgbColor rgb="FF9C2B2B"/>
      <rgbColor rgb="FF993366"/>
      <rgbColor rgb="FF1F4E7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42F4B"/>
                </a:solidFill>
                <a:latin typeface="Calibri"/>
              </a:defRPr>
            </a:pPr>
            <a:r>
              <a:rPr lang="en-CA" sz="1050" b="1" strike="noStrike" spc="-1">
                <a:solidFill>
                  <a:srgbClr val="142F4B"/>
                </a:solidFill>
                <a:latin typeface="Calibri"/>
              </a:rPr>
              <a:t>Closing cash vs minimum buffer (SGD)</a:t>
            </a:r>
          </a:p>
        </c:rich>
      </c:tx>
      <c:overlay val="0"/>
      <c:spPr>
        <a:noFill/>
        <a:ln w="0">
          <a:noFill/>
        </a:ln>
      </c:spPr>
    </c:title>
    <c:autoTitleDeleted val="0"/>
    <c:plotArea>
      <c:layout/>
      <c:lineChart>
        <c:grouping val="standard"/>
        <c:varyColors val="0"/>
        <c:ser>
          <c:idx val="0"/>
          <c:order val="0"/>
          <c:tx>
            <c:strRef>
              <c:f>Dashboard!$C$102</c:f>
              <c:strCache>
                <c:ptCount val="1"/>
                <c:pt idx="0">
                  <c:v>Closing cash</c:v>
                </c:pt>
              </c:strCache>
            </c:strRef>
          </c:tx>
          <c:spPr>
            <a:ln w="25920">
              <a:solidFill>
                <a:srgbClr val="142F4B"/>
              </a:solidFill>
              <a:round/>
            </a:ln>
          </c:spPr>
          <c:marker>
            <c:symbol val="circle"/>
            <c:size val="5"/>
            <c:spPr>
              <a:solidFill>
                <a:srgbClr val="142F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Dashboard!$B$103:$B$115</c:f>
              <c:strCache>
                <c:ptCount val="13"/>
                <c:pt idx="0">
                  <c:v>W1</c:v>
                </c:pt>
                <c:pt idx="1">
                  <c:v>W2</c:v>
                </c:pt>
                <c:pt idx="2">
                  <c:v>W3</c:v>
                </c:pt>
                <c:pt idx="3">
                  <c:v>W4</c:v>
                </c:pt>
                <c:pt idx="4">
                  <c:v>W5</c:v>
                </c:pt>
                <c:pt idx="5">
                  <c:v>W6</c:v>
                </c:pt>
                <c:pt idx="6">
                  <c:v>W7</c:v>
                </c:pt>
                <c:pt idx="7">
                  <c:v>W8</c:v>
                </c:pt>
                <c:pt idx="8">
                  <c:v>W9</c:v>
                </c:pt>
                <c:pt idx="9">
                  <c:v>W10</c:v>
                </c:pt>
                <c:pt idx="10">
                  <c:v>W11</c:v>
                </c:pt>
                <c:pt idx="11">
                  <c:v>W12</c:v>
                </c:pt>
                <c:pt idx="12">
                  <c:v>W13</c:v>
                </c:pt>
              </c:strCache>
            </c:strRef>
          </c:cat>
          <c:val>
            <c:numRef>
              <c:f>Dashboard!$C$103:$C$115</c:f>
              <c:numCache>
                <c:formatCode>#,##0;\(#,##0\);\-</c:formatCode>
                <c:ptCount val="13"/>
                <c:pt idx="0">
                  <c:v>229516.48595999999</c:v>
                </c:pt>
                <c:pt idx="1">
                  <c:v>210506.60658399999</c:v>
                </c:pt>
                <c:pt idx="2">
                  <c:v>237278.14225999999</c:v>
                </c:pt>
                <c:pt idx="3">
                  <c:v>265003.41797999997</c:v>
                </c:pt>
                <c:pt idx="4">
                  <c:v>173817.28978399996</c:v>
                </c:pt>
                <c:pt idx="5">
                  <c:v>196072.19999999995</c:v>
                </c:pt>
                <c:pt idx="6">
                  <c:v>232293.09139999998</c:v>
                </c:pt>
                <c:pt idx="7">
                  <c:v>180344.89755599998</c:v>
                </c:pt>
                <c:pt idx="8">
                  <c:v>114528.43459999998</c:v>
                </c:pt>
                <c:pt idx="9">
                  <c:v>134028.49608399998</c:v>
                </c:pt>
                <c:pt idx="10">
                  <c:v>129334.05525199998</c:v>
                </c:pt>
                <c:pt idx="11">
                  <c:v>160084.20993199997</c:v>
                </c:pt>
                <c:pt idx="12">
                  <c:v>139650.21652399999</c:v>
                </c:pt>
              </c:numCache>
            </c:numRef>
          </c:val>
          <c:smooth val="0"/>
          <c:extLst>
            <c:ext xmlns:c16="http://schemas.microsoft.com/office/drawing/2014/chart" uri="{C3380CC4-5D6E-409C-BE32-E72D297353CC}">
              <c16:uniqueId val="{00000000-6FDF-4720-AF21-2BD37B6F945B}"/>
            </c:ext>
          </c:extLst>
        </c:ser>
        <c:ser>
          <c:idx val="1"/>
          <c:order val="1"/>
          <c:tx>
            <c:strRef>
              <c:f>Dashboard!$D$102</c:f>
              <c:strCache>
                <c:ptCount val="1"/>
                <c:pt idx="0">
                  <c:v>Minimum buffer</c:v>
                </c:pt>
              </c:strCache>
            </c:strRef>
          </c:tx>
          <c:spPr>
            <a:ln w="15840">
              <a:solidFill>
                <a:srgbClr val="C0504D"/>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Dashboard!$B$103:$B$115</c:f>
              <c:strCache>
                <c:ptCount val="13"/>
                <c:pt idx="0">
                  <c:v>W1</c:v>
                </c:pt>
                <c:pt idx="1">
                  <c:v>W2</c:v>
                </c:pt>
                <c:pt idx="2">
                  <c:v>W3</c:v>
                </c:pt>
                <c:pt idx="3">
                  <c:v>W4</c:v>
                </c:pt>
                <c:pt idx="4">
                  <c:v>W5</c:v>
                </c:pt>
                <c:pt idx="5">
                  <c:v>W6</c:v>
                </c:pt>
                <c:pt idx="6">
                  <c:v>W7</c:v>
                </c:pt>
                <c:pt idx="7">
                  <c:v>W8</c:v>
                </c:pt>
                <c:pt idx="8">
                  <c:v>W9</c:v>
                </c:pt>
                <c:pt idx="9">
                  <c:v>W10</c:v>
                </c:pt>
                <c:pt idx="10">
                  <c:v>W11</c:v>
                </c:pt>
                <c:pt idx="11">
                  <c:v>W12</c:v>
                </c:pt>
                <c:pt idx="12">
                  <c:v>W13</c:v>
                </c:pt>
              </c:strCache>
            </c:strRef>
          </c:cat>
          <c:val>
            <c:numRef>
              <c:f>Dashboard!$D$103:$D$115</c:f>
              <c:numCache>
                <c:formatCode>#,##0;\(#,##0\);\-</c:formatCode>
                <c:ptCount val="13"/>
                <c:pt idx="0">
                  <c:v>120000</c:v>
                </c:pt>
                <c:pt idx="1">
                  <c:v>120000</c:v>
                </c:pt>
                <c:pt idx="2">
                  <c:v>120000</c:v>
                </c:pt>
                <c:pt idx="3">
                  <c:v>120000</c:v>
                </c:pt>
                <c:pt idx="4">
                  <c:v>120000</c:v>
                </c:pt>
                <c:pt idx="5">
                  <c:v>120000</c:v>
                </c:pt>
                <c:pt idx="6">
                  <c:v>120000</c:v>
                </c:pt>
                <c:pt idx="7">
                  <c:v>120000</c:v>
                </c:pt>
                <c:pt idx="8">
                  <c:v>120000</c:v>
                </c:pt>
                <c:pt idx="9">
                  <c:v>120000</c:v>
                </c:pt>
                <c:pt idx="10">
                  <c:v>120000</c:v>
                </c:pt>
                <c:pt idx="11">
                  <c:v>120000</c:v>
                </c:pt>
                <c:pt idx="12">
                  <c:v>120000</c:v>
                </c:pt>
              </c:numCache>
            </c:numRef>
          </c:val>
          <c:smooth val="0"/>
          <c:extLst>
            <c:ext xmlns:c16="http://schemas.microsoft.com/office/drawing/2014/chart" uri="{C3380CC4-5D6E-409C-BE32-E72D297353CC}">
              <c16:uniqueId val="{00000001-6FDF-4720-AF21-2BD37B6F945B}"/>
            </c:ext>
          </c:extLst>
        </c:ser>
        <c:dLbls>
          <c:showLegendKey val="0"/>
          <c:showVal val="0"/>
          <c:showCatName val="0"/>
          <c:showSerName val="0"/>
          <c:showPercent val="0"/>
          <c:showBubbleSize val="0"/>
        </c:dLbls>
        <c:hiLowLines>
          <c:spPr>
            <a:ln w="0">
              <a:noFill/>
            </a:ln>
          </c:spPr>
        </c:hiLowLines>
        <c:marker val="1"/>
        <c:smooth val="0"/>
        <c:axId val="26261269"/>
        <c:axId val="46561446"/>
      </c:lineChart>
      <c:catAx>
        <c:axId val="2626126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850" b="0" strike="noStrike" spc="-1">
                <a:solidFill>
                  <a:srgbClr val="5B6B7B"/>
                </a:solidFill>
                <a:latin typeface="Calibri"/>
              </a:defRPr>
            </a:pPr>
            <a:endParaRPr lang="en-US"/>
          </a:p>
        </c:txPr>
        <c:crossAx val="46561446"/>
        <c:crosses val="autoZero"/>
        <c:auto val="1"/>
        <c:lblAlgn val="ctr"/>
        <c:lblOffset val="100"/>
        <c:noMultiLvlLbl val="0"/>
      </c:catAx>
      <c:valAx>
        <c:axId val="46561446"/>
        <c:scaling>
          <c:orientation val="minMax"/>
          <c:min val="0"/>
        </c:scaling>
        <c:delete val="0"/>
        <c:axPos val="l"/>
        <c:numFmt formatCode="#,##0;\(#,##0\);\-" sourceLinked="0"/>
        <c:majorTickMark val="none"/>
        <c:minorTickMark val="none"/>
        <c:tickLblPos val="nextTo"/>
        <c:spPr>
          <a:ln w="0">
            <a:solidFill>
              <a:srgbClr val="B3B3B3"/>
            </a:solidFill>
          </a:ln>
        </c:spPr>
        <c:txPr>
          <a:bodyPr/>
          <a:lstStyle/>
          <a:p>
            <a:pPr>
              <a:defRPr sz="850" b="0" strike="noStrike" spc="-1">
                <a:solidFill>
                  <a:srgbClr val="5B6B7B"/>
                </a:solidFill>
                <a:latin typeface="Calibri"/>
              </a:defRPr>
            </a:pPr>
            <a:endParaRPr lang="en-US"/>
          </a:p>
        </c:txPr>
        <c:crossAx val="26261269"/>
        <c:crosses val="autoZero"/>
        <c:crossBetween val="between"/>
      </c:valAx>
      <c:spPr>
        <a:noFill/>
        <a:ln w="0">
          <a:noFill/>
        </a:ln>
      </c:spPr>
    </c:plotArea>
    <c:legend>
      <c:legendPos val="b"/>
      <c:overlay val="0"/>
      <c:spPr>
        <a:noFill/>
        <a:ln w="0">
          <a:noFill/>
        </a:ln>
      </c:spPr>
      <c:txPr>
        <a:bodyPr/>
        <a:lstStyle/>
        <a:p>
          <a:pPr>
            <a:defRPr sz="850" b="0" strike="noStrike" spc="-1">
              <a:solidFill>
                <a:srgbClr val="5B6B7B"/>
              </a:solidFill>
              <a:latin typeface="Calibri"/>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00" b="1" strike="noStrike" spc="-1">
                <a:solidFill>
                  <a:srgbClr val="142F4B"/>
                </a:solidFill>
                <a:latin typeface="Calibri"/>
              </a:defRPr>
            </a:pPr>
            <a:r>
              <a:rPr lang="en-CA" sz="1000" b="1" strike="noStrike" spc="-1">
                <a:solidFill>
                  <a:srgbClr val="142F4B"/>
                </a:solidFill>
                <a:latin typeface="Calibri"/>
              </a:rPr>
              <a:t>Contribution vs direct channel profit, per month (SGD)</a:t>
            </a:r>
          </a:p>
        </c:rich>
      </c:tx>
      <c:overlay val="0"/>
      <c:spPr>
        <a:noFill/>
        <a:ln w="0">
          <a:noFill/>
        </a:ln>
      </c:spPr>
    </c:title>
    <c:autoTitleDeleted val="0"/>
    <c:plotArea>
      <c:layout/>
      <c:barChart>
        <c:barDir val="col"/>
        <c:grouping val="clustered"/>
        <c:varyColors val="0"/>
        <c:ser>
          <c:idx val="0"/>
          <c:order val="0"/>
          <c:tx>
            <c:strRef>
              <c:f>Dashboard!$C$117</c:f>
              <c:strCache>
                <c:ptCount val="1"/>
                <c:pt idx="0">
                  <c:v>Contribution profit / month</c:v>
                </c:pt>
              </c:strCache>
            </c:strRef>
          </c:tx>
          <c:spPr>
            <a:solidFill>
              <a:srgbClr val="9FC0DC"/>
            </a:solidFill>
            <a:ln w="0">
              <a:noFill/>
            </a:ln>
          </c:spPr>
          <c:invertIfNegative val="0"/>
          <c:dLbls>
            <c:spPr>
              <a:noFill/>
              <a:ln>
                <a:noFill/>
              </a:ln>
              <a:effectLst/>
            </c:spPr>
            <c:txPr>
              <a:bodyPr wrap="square"/>
              <a:lstStyle/>
              <a:p>
                <a:pPr>
                  <a:defRPr sz="750" b="0" strike="noStrike" spc="-1">
                    <a:solidFill>
                      <a:srgbClr val="5B6B7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Dashboard!$B$118:$B$121</c:f>
              <c:strCache>
                <c:ptCount val="4"/>
                <c:pt idx="0">
                  <c:v>Physical Store</c:v>
                </c:pt>
                <c:pt idx="1">
                  <c:v>E-commerce</c:v>
                </c:pt>
                <c:pt idx="2">
                  <c:v>Events / Pop-ups</c:v>
                </c:pt>
                <c:pt idx="3">
                  <c:v>Consignment</c:v>
                </c:pt>
              </c:strCache>
            </c:strRef>
          </c:cat>
          <c:val>
            <c:numRef>
              <c:f>Dashboard!$C$118:$C$121</c:f>
              <c:numCache>
                <c:formatCode>#,##0;\(#,##0\);\-</c:formatCode>
                <c:ptCount val="4"/>
                <c:pt idx="0">
                  <c:v>43345.279999999992</c:v>
                </c:pt>
                <c:pt idx="1">
                  <c:v>34777.599999999999</c:v>
                </c:pt>
                <c:pt idx="2">
                  <c:v>12833.1</c:v>
                </c:pt>
                <c:pt idx="3">
                  <c:v>9690</c:v>
                </c:pt>
              </c:numCache>
            </c:numRef>
          </c:val>
          <c:extLst>
            <c:ext xmlns:c16="http://schemas.microsoft.com/office/drawing/2014/chart" uri="{C3380CC4-5D6E-409C-BE32-E72D297353CC}">
              <c16:uniqueId val="{00000000-5F35-4DE7-8A2B-350FD9FB658C}"/>
            </c:ext>
          </c:extLst>
        </c:ser>
        <c:ser>
          <c:idx val="1"/>
          <c:order val="1"/>
          <c:tx>
            <c:strRef>
              <c:f>Dashboard!$D$117</c:f>
              <c:strCache>
                <c:ptCount val="1"/>
                <c:pt idx="0">
                  <c:v>Direct channel profit / month</c:v>
                </c:pt>
              </c:strCache>
            </c:strRef>
          </c:tx>
          <c:spPr>
            <a:solidFill>
              <a:srgbClr val="142F4B"/>
            </a:solidFill>
            <a:ln w="0">
              <a:noFill/>
            </a:ln>
          </c:spPr>
          <c:invertIfNegative val="0"/>
          <c:dLbls>
            <c:spPr>
              <a:noFill/>
              <a:ln>
                <a:noFill/>
              </a:ln>
              <a:effectLst/>
            </c:spPr>
            <c:txPr>
              <a:bodyPr wrap="square"/>
              <a:lstStyle/>
              <a:p>
                <a:pPr>
                  <a:defRPr sz="750" b="0" strike="noStrike" spc="-1">
                    <a:solidFill>
                      <a:srgbClr val="5B6B7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Dashboard!$B$118:$B$121</c:f>
              <c:strCache>
                <c:ptCount val="4"/>
                <c:pt idx="0">
                  <c:v>Physical Store</c:v>
                </c:pt>
                <c:pt idx="1">
                  <c:v>E-commerce</c:v>
                </c:pt>
                <c:pt idx="2">
                  <c:v>Events / Pop-ups</c:v>
                </c:pt>
                <c:pt idx="3">
                  <c:v>Consignment</c:v>
                </c:pt>
              </c:strCache>
            </c:strRef>
          </c:cat>
          <c:val>
            <c:numRef>
              <c:f>Dashboard!$D$118:$D$121</c:f>
              <c:numCache>
                <c:formatCode>#,##0;\(#,##0\);\-</c:formatCode>
                <c:ptCount val="4"/>
                <c:pt idx="0">
                  <c:v>-1104.7200000000059</c:v>
                </c:pt>
                <c:pt idx="1">
                  <c:v>28477.600000000002</c:v>
                </c:pt>
                <c:pt idx="2">
                  <c:v>12833.1</c:v>
                </c:pt>
                <c:pt idx="3">
                  <c:v>9690</c:v>
                </c:pt>
              </c:numCache>
            </c:numRef>
          </c:val>
          <c:extLst>
            <c:ext xmlns:c16="http://schemas.microsoft.com/office/drawing/2014/chart" uri="{C3380CC4-5D6E-409C-BE32-E72D297353CC}">
              <c16:uniqueId val="{00000001-5F35-4DE7-8A2B-350FD9FB658C}"/>
            </c:ext>
          </c:extLst>
        </c:ser>
        <c:dLbls>
          <c:showLegendKey val="0"/>
          <c:showVal val="0"/>
          <c:showCatName val="0"/>
          <c:showSerName val="0"/>
          <c:showPercent val="0"/>
          <c:showBubbleSize val="0"/>
        </c:dLbls>
        <c:gapWidth val="80"/>
        <c:axId val="64863602"/>
        <c:axId val="84673190"/>
      </c:barChart>
      <c:catAx>
        <c:axId val="64863602"/>
        <c:scaling>
          <c:orientation val="minMax"/>
        </c:scaling>
        <c:delete val="0"/>
        <c:axPos val="b"/>
        <c:numFmt formatCode="General" sourceLinked="1"/>
        <c:majorTickMark val="none"/>
        <c:minorTickMark val="none"/>
        <c:tickLblPos val="low"/>
        <c:spPr>
          <a:ln w="0">
            <a:solidFill>
              <a:srgbClr val="B3B3B3"/>
            </a:solidFill>
          </a:ln>
        </c:spPr>
        <c:txPr>
          <a:bodyPr/>
          <a:lstStyle/>
          <a:p>
            <a:pPr>
              <a:defRPr sz="850" b="0" strike="noStrike" spc="-1">
                <a:solidFill>
                  <a:srgbClr val="5B6B7B"/>
                </a:solidFill>
                <a:latin typeface="Calibri"/>
              </a:defRPr>
            </a:pPr>
            <a:endParaRPr lang="en-US"/>
          </a:p>
        </c:txPr>
        <c:crossAx val="84673190"/>
        <c:crosses val="autoZero"/>
        <c:auto val="1"/>
        <c:lblAlgn val="ctr"/>
        <c:lblOffset val="100"/>
        <c:noMultiLvlLbl val="0"/>
      </c:catAx>
      <c:valAx>
        <c:axId val="84673190"/>
        <c:scaling>
          <c:orientation val="minMax"/>
        </c:scaling>
        <c:delete val="0"/>
        <c:axPos val="l"/>
        <c:numFmt formatCode="#,##0;\(#,##0\);\-" sourceLinked="0"/>
        <c:majorTickMark val="none"/>
        <c:minorTickMark val="none"/>
        <c:tickLblPos val="nextTo"/>
        <c:spPr>
          <a:ln w="0">
            <a:solidFill>
              <a:srgbClr val="B3B3B3"/>
            </a:solidFill>
          </a:ln>
        </c:spPr>
        <c:txPr>
          <a:bodyPr/>
          <a:lstStyle/>
          <a:p>
            <a:pPr>
              <a:defRPr sz="850" b="0" strike="noStrike" spc="-1">
                <a:solidFill>
                  <a:srgbClr val="5B6B7B"/>
                </a:solidFill>
                <a:latin typeface="Calibri"/>
              </a:defRPr>
            </a:pPr>
            <a:endParaRPr lang="en-US"/>
          </a:p>
        </c:txPr>
        <c:crossAx val="64863602"/>
        <c:crosses val="autoZero"/>
        <c:crossBetween val="between"/>
      </c:valAx>
      <c:spPr>
        <a:noFill/>
        <a:ln w="0">
          <a:noFill/>
        </a:ln>
      </c:spPr>
    </c:plotArea>
    <c:legend>
      <c:legendPos val="b"/>
      <c:overlay val="0"/>
      <c:spPr>
        <a:noFill/>
        <a:ln w="0">
          <a:noFill/>
        </a:ln>
      </c:spPr>
      <c:txPr>
        <a:bodyPr/>
        <a:lstStyle/>
        <a:p>
          <a:pPr>
            <a:defRPr sz="850" b="0" strike="noStrike" spc="-1">
              <a:solidFill>
                <a:srgbClr val="5B6B7B"/>
              </a:solidFill>
              <a:latin typeface="Calibri"/>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42F4B"/>
                </a:solidFill>
                <a:latin typeface="Calibri"/>
              </a:defRPr>
            </a:pPr>
            <a:r>
              <a:rPr lang="en-CA" sz="1050" b="1" strike="noStrike" spc="-1">
                <a:solidFill>
                  <a:srgbClr val="142F4B"/>
                </a:solidFill>
                <a:latin typeface="Calibri"/>
              </a:rPr>
              <a:t>Store monthly sales vs break-even (SGD)</a:t>
            </a:r>
          </a:p>
        </c:rich>
      </c:tx>
      <c:overlay val="0"/>
      <c:spPr>
        <a:noFill/>
        <a:ln w="0">
          <a:noFill/>
        </a:ln>
      </c:spPr>
    </c:title>
    <c:autoTitleDeleted val="0"/>
    <c:plotArea>
      <c:layout/>
      <c:barChart>
        <c:barDir val="col"/>
        <c:grouping val="clustered"/>
        <c:varyColors val="0"/>
        <c:ser>
          <c:idx val="0"/>
          <c:order val="0"/>
          <c:tx>
            <c:strRef>
              <c:f>Dashboard!$C$123</c:f>
              <c:strCache>
                <c:ptCount val="1"/>
                <c:pt idx="0">
                  <c:v>SGD per month</c:v>
                </c:pt>
              </c:strCache>
            </c:strRef>
          </c:tx>
          <c:spPr>
            <a:solidFill>
              <a:srgbClr val="2E5C8A"/>
            </a:solidFill>
            <a:ln w="0">
              <a:noFill/>
            </a:ln>
          </c:spPr>
          <c:invertIfNegative val="0"/>
          <c:dLbls>
            <c:spPr>
              <a:noFill/>
              <a:ln>
                <a:noFill/>
              </a:ln>
              <a:effectLst/>
            </c:spPr>
            <c:txPr>
              <a:bodyPr wrap="square"/>
              <a:lstStyle/>
              <a:p>
                <a:pPr>
                  <a:defRPr sz="850" b="0" strike="noStrike" spc="-1">
                    <a:solidFill>
                      <a:srgbClr val="5B6B7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Dashboard!$B$124:$B$125</c:f>
              <c:strCache>
                <c:ptCount val="2"/>
                <c:pt idx="0">
                  <c:v>Current net sales</c:v>
                </c:pt>
                <c:pt idx="1">
                  <c:v>Break-even sales</c:v>
                </c:pt>
              </c:strCache>
            </c:strRef>
          </c:cat>
          <c:val>
            <c:numRef>
              <c:f>Dashboard!$C$124:$C$125</c:f>
              <c:numCache>
                <c:formatCode>#,##0;\(#,##0\);\-</c:formatCode>
                <c:ptCount val="2"/>
                <c:pt idx="0">
                  <c:v>82720</c:v>
                </c:pt>
                <c:pt idx="1">
                  <c:v>84828.244274809156</c:v>
                </c:pt>
              </c:numCache>
            </c:numRef>
          </c:val>
          <c:extLst>
            <c:ext xmlns:c16="http://schemas.microsoft.com/office/drawing/2014/chart" uri="{C3380CC4-5D6E-409C-BE32-E72D297353CC}">
              <c16:uniqueId val="{00000000-28D2-487D-B55B-95F14A400953}"/>
            </c:ext>
          </c:extLst>
        </c:ser>
        <c:dLbls>
          <c:showLegendKey val="0"/>
          <c:showVal val="0"/>
          <c:showCatName val="0"/>
          <c:showSerName val="0"/>
          <c:showPercent val="0"/>
          <c:showBubbleSize val="0"/>
        </c:dLbls>
        <c:gapWidth val="150"/>
        <c:axId val="26905693"/>
        <c:axId val="4465505"/>
      </c:barChart>
      <c:catAx>
        <c:axId val="2690569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850" b="0" strike="noStrike" spc="-1">
                <a:solidFill>
                  <a:srgbClr val="5B6B7B"/>
                </a:solidFill>
                <a:latin typeface="Calibri"/>
              </a:defRPr>
            </a:pPr>
            <a:endParaRPr lang="en-US"/>
          </a:p>
        </c:txPr>
        <c:crossAx val="4465505"/>
        <c:crosses val="autoZero"/>
        <c:auto val="1"/>
        <c:lblAlgn val="ctr"/>
        <c:lblOffset val="100"/>
        <c:noMultiLvlLbl val="0"/>
      </c:catAx>
      <c:valAx>
        <c:axId val="4465505"/>
        <c:scaling>
          <c:orientation val="minMax"/>
          <c:min val="0"/>
        </c:scaling>
        <c:delete val="0"/>
        <c:axPos val="l"/>
        <c:numFmt formatCode="#,##0;\(#,##0\);\-" sourceLinked="0"/>
        <c:majorTickMark val="none"/>
        <c:minorTickMark val="none"/>
        <c:tickLblPos val="nextTo"/>
        <c:spPr>
          <a:ln w="0">
            <a:solidFill>
              <a:srgbClr val="B3B3B3"/>
            </a:solidFill>
          </a:ln>
        </c:spPr>
        <c:txPr>
          <a:bodyPr/>
          <a:lstStyle/>
          <a:p>
            <a:pPr>
              <a:defRPr sz="850" b="0" strike="noStrike" spc="-1">
                <a:solidFill>
                  <a:srgbClr val="5B6B7B"/>
                </a:solidFill>
                <a:latin typeface="Calibri"/>
              </a:defRPr>
            </a:pPr>
            <a:endParaRPr lang="en-US"/>
          </a:p>
        </c:txPr>
        <c:crossAx val="26905693"/>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050" b="1" strike="noStrike" spc="-1">
                <a:solidFill>
                  <a:srgbClr val="142F4B"/>
                </a:solidFill>
                <a:latin typeface="Calibri"/>
              </a:defRPr>
            </a:pPr>
            <a:r>
              <a:rPr lang="en-CA" sz="1050" b="1" strike="noStrike" spc="-1">
                <a:solidFill>
                  <a:srgbClr val="142F4B"/>
                </a:solidFill>
                <a:latin typeface="Calibri"/>
              </a:rPr>
              <a:t>Scenario cash outcomes (SGD)</a:t>
            </a:r>
          </a:p>
        </c:rich>
      </c:tx>
      <c:overlay val="0"/>
      <c:spPr>
        <a:noFill/>
        <a:ln w="0">
          <a:noFill/>
        </a:ln>
      </c:spPr>
    </c:title>
    <c:autoTitleDeleted val="0"/>
    <c:plotArea>
      <c:layout/>
      <c:barChart>
        <c:barDir val="col"/>
        <c:grouping val="clustered"/>
        <c:varyColors val="0"/>
        <c:ser>
          <c:idx val="0"/>
          <c:order val="0"/>
          <c:tx>
            <c:strRef>
              <c:f>Dashboard!$C$127</c:f>
              <c:strCache>
                <c:ptCount val="1"/>
                <c:pt idx="0">
                  <c:v>Ending cash - Week 13</c:v>
                </c:pt>
              </c:strCache>
            </c:strRef>
          </c:tx>
          <c:spPr>
            <a:solidFill>
              <a:srgbClr val="142F4B"/>
            </a:solidFill>
            <a:ln w="0">
              <a:noFill/>
            </a:ln>
          </c:spPr>
          <c:invertIfNegative val="0"/>
          <c:dLbls>
            <c:spPr>
              <a:noFill/>
              <a:ln>
                <a:noFill/>
              </a:ln>
              <a:effectLst/>
            </c:spPr>
            <c:txPr>
              <a:bodyPr wrap="square"/>
              <a:lstStyle/>
              <a:p>
                <a:pPr>
                  <a:defRPr sz="850" b="0" strike="noStrike" spc="-1">
                    <a:solidFill>
                      <a:srgbClr val="5B6B7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Dashboard!$B$128:$B$130</c:f>
              <c:strCache>
                <c:ptCount val="3"/>
                <c:pt idx="0">
                  <c:v>1. Current Operations</c:v>
                </c:pt>
                <c:pt idx="1">
                  <c:v>2. Store Improvement</c:v>
                </c:pt>
                <c:pt idx="2">
                  <c:v>3. Store Exit / Channel Shift</c:v>
                </c:pt>
              </c:strCache>
            </c:strRef>
          </c:cat>
          <c:val>
            <c:numRef>
              <c:f>Dashboard!$C$128:$C$130</c:f>
              <c:numCache>
                <c:formatCode>#,##0;\(#,##0\);\-</c:formatCode>
                <c:ptCount val="3"/>
                <c:pt idx="0">
                  <c:v>139650.21652399999</c:v>
                </c:pt>
                <c:pt idx="1">
                  <c:v>163301.63986176002</c:v>
                </c:pt>
                <c:pt idx="2">
                  <c:v>110579.35098454836</c:v>
                </c:pt>
              </c:numCache>
            </c:numRef>
          </c:val>
          <c:extLst>
            <c:ext xmlns:c16="http://schemas.microsoft.com/office/drawing/2014/chart" uri="{C3380CC4-5D6E-409C-BE32-E72D297353CC}">
              <c16:uniqueId val="{00000000-47C5-4715-8800-253F22A31F28}"/>
            </c:ext>
          </c:extLst>
        </c:ser>
        <c:ser>
          <c:idx val="1"/>
          <c:order val="1"/>
          <c:tx>
            <c:strRef>
              <c:f>Dashboard!$D$127</c:f>
              <c:strCache>
                <c:ptCount val="1"/>
                <c:pt idx="0">
                  <c:v>Lowest projected cash</c:v>
                </c:pt>
              </c:strCache>
            </c:strRef>
          </c:tx>
          <c:spPr>
            <a:solidFill>
              <a:srgbClr val="9FC0DC"/>
            </a:solidFill>
            <a:ln w="0">
              <a:noFill/>
            </a:ln>
          </c:spPr>
          <c:invertIfNegative val="0"/>
          <c:dLbls>
            <c:spPr>
              <a:noFill/>
              <a:ln>
                <a:noFill/>
              </a:ln>
              <a:effectLst/>
            </c:spPr>
            <c:txPr>
              <a:bodyPr wrap="square"/>
              <a:lstStyle/>
              <a:p>
                <a:pPr>
                  <a:defRPr sz="850" b="0" strike="noStrike" spc="-1">
                    <a:solidFill>
                      <a:srgbClr val="5B6B7B"/>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Dashboard!$B$128:$B$130</c:f>
              <c:strCache>
                <c:ptCount val="3"/>
                <c:pt idx="0">
                  <c:v>1. Current Operations</c:v>
                </c:pt>
                <c:pt idx="1">
                  <c:v>2. Store Improvement</c:v>
                </c:pt>
                <c:pt idx="2">
                  <c:v>3. Store Exit / Channel Shift</c:v>
                </c:pt>
              </c:strCache>
            </c:strRef>
          </c:cat>
          <c:val>
            <c:numRef>
              <c:f>Dashboard!$D$128:$D$130</c:f>
              <c:numCache>
                <c:formatCode>#,##0;\(#,##0\);\-</c:formatCode>
                <c:ptCount val="3"/>
                <c:pt idx="0">
                  <c:v>114528.43459999999</c:v>
                </c:pt>
                <c:pt idx="1">
                  <c:v>130288.22644900004</c:v>
                </c:pt>
                <c:pt idx="2">
                  <c:v>79427.176976548362</c:v>
                </c:pt>
              </c:numCache>
            </c:numRef>
          </c:val>
          <c:extLst>
            <c:ext xmlns:c16="http://schemas.microsoft.com/office/drawing/2014/chart" uri="{C3380CC4-5D6E-409C-BE32-E72D297353CC}">
              <c16:uniqueId val="{00000001-47C5-4715-8800-253F22A31F28}"/>
            </c:ext>
          </c:extLst>
        </c:ser>
        <c:dLbls>
          <c:showLegendKey val="0"/>
          <c:showVal val="0"/>
          <c:showCatName val="0"/>
          <c:showSerName val="0"/>
          <c:showPercent val="0"/>
          <c:showBubbleSize val="0"/>
        </c:dLbls>
        <c:gapWidth val="150"/>
        <c:axId val="73281854"/>
        <c:axId val="26409584"/>
      </c:barChart>
      <c:catAx>
        <c:axId val="7328185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850" b="0" strike="noStrike" spc="-1">
                <a:solidFill>
                  <a:srgbClr val="5B6B7B"/>
                </a:solidFill>
                <a:latin typeface="Calibri"/>
              </a:defRPr>
            </a:pPr>
            <a:endParaRPr lang="en-US"/>
          </a:p>
        </c:txPr>
        <c:crossAx val="26409584"/>
        <c:crosses val="autoZero"/>
        <c:auto val="1"/>
        <c:lblAlgn val="ctr"/>
        <c:lblOffset val="100"/>
        <c:noMultiLvlLbl val="0"/>
      </c:catAx>
      <c:valAx>
        <c:axId val="26409584"/>
        <c:scaling>
          <c:orientation val="minMax"/>
          <c:min val="0"/>
        </c:scaling>
        <c:delete val="0"/>
        <c:axPos val="l"/>
        <c:numFmt formatCode="#,##0;\(#,##0\);\-" sourceLinked="0"/>
        <c:majorTickMark val="none"/>
        <c:minorTickMark val="none"/>
        <c:tickLblPos val="nextTo"/>
        <c:spPr>
          <a:ln w="0">
            <a:solidFill>
              <a:srgbClr val="B3B3B3"/>
            </a:solidFill>
          </a:ln>
        </c:spPr>
        <c:txPr>
          <a:bodyPr/>
          <a:lstStyle/>
          <a:p>
            <a:pPr>
              <a:defRPr sz="850" b="0" strike="noStrike" spc="-1">
                <a:solidFill>
                  <a:srgbClr val="5B6B7B"/>
                </a:solidFill>
                <a:latin typeface="Calibri"/>
              </a:defRPr>
            </a:pPr>
            <a:endParaRPr lang="en-US"/>
          </a:p>
        </c:txPr>
        <c:crossAx val="73281854"/>
        <c:crosses val="autoZero"/>
        <c:crossBetween val="between"/>
      </c:valAx>
      <c:spPr>
        <a:noFill/>
        <a:ln w="0">
          <a:noFill/>
        </a:ln>
      </c:spPr>
    </c:plotArea>
    <c:legend>
      <c:legendPos val="b"/>
      <c:overlay val="0"/>
      <c:spPr>
        <a:noFill/>
        <a:ln w="0">
          <a:noFill/>
        </a:ln>
      </c:spPr>
      <c:txPr>
        <a:bodyPr/>
        <a:lstStyle/>
        <a:p>
          <a:pPr>
            <a:defRPr sz="850" b="0" strike="noStrike" spc="-1">
              <a:solidFill>
                <a:srgbClr val="5B6B7B"/>
              </a:solidFill>
              <a:latin typeface="Calibri"/>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6</xdr:col>
      <xdr:colOff>651240</xdr:colOff>
      <xdr:row>35</xdr:row>
      <xdr:rowOff>93960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20</xdr:row>
      <xdr:rowOff>0</xdr:rowOff>
    </xdr:from>
    <xdr:to>
      <xdr:col>14</xdr:col>
      <xdr:colOff>491400</xdr:colOff>
      <xdr:row>35</xdr:row>
      <xdr:rowOff>93960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0</xdr:rowOff>
    </xdr:from>
    <xdr:to>
      <xdr:col>6</xdr:col>
      <xdr:colOff>651240</xdr:colOff>
      <xdr:row>52</xdr:row>
      <xdr:rowOff>93960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37</xdr:row>
      <xdr:rowOff>0</xdr:rowOff>
    </xdr:from>
    <xdr:to>
      <xdr:col>14</xdr:col>
      <xdr:colOff>491400</xdr:colOff>
      <xdr:row>52</xdr:row>
      <xdr:rowOff>93960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C99A6"/>
    <pageSetUpPr fitToPage="1"/>
  </sheetPr>
  <dimension ref="B1:G61"/>
  <sheetViews>
    <sheetView showGridLines="0" zoomScaleNormal="100" workbookViewId="0">
      <selection activeCell="B2" sqref="B2"/>
    </sheetView>
  </sheetViews>
  <sheetFormatPr defaultColWidth="8.54296875" defaultRowHeight="14.5" x14ac:dyDescent="0.35"/>
  <cols>
    <col min="1" max="1" width="1.6328125" customWidth="1"/>
    <col min="2" max="2" width="2.36328125" customWidth="1"/>
    <col min="3" max="3" width="30" customWidth="1"/>
    <col min="4" max="4" width="101" customWidth="1"/>
    <col min="5" max="7" width="2" customWidth="1"/>
  </cols>
  <sheetData>
    <row r="1" spans="2:7" ht="9" customHeight="1" x14ac:dyDescent="0.35"/>
    <row r="2" spans="2:7" ht="26" customHeight="1" x14ac:dyDescent="0.35">
      <c r="B2" s="173" t="s">
        <v>0</v>
      </c>
      <c r="C2" s="175"/>
      <c r="D2" s="174" t="s">
        <v>1</v>
      </c>
      <c r="G2" s="4"/>
    </row>
    <row r="3" spans="2:7" ht="20" customHeight="1" x14ac:dyDescent="0.35">
      <c r="B3" s="176" t="s">
        <v>2</v>
      </c>
      <c r="C3" s="177"/>
      <c r="D3" s="177"/>
      <c r="E3" s="5"/>
      <c r="F3" s="5"/>
      <c r="G3" s="6"/>
    </row>
    <row r="4" spans="2:7" ht="6.75" customHeight="1" x14ac:dyDescent="0.35">
      <c r="B4" s="7"/>
      <c r="C4" s="7"/>
      <c r="D4" s="7"/>
      <c r="E4" s="7"/>
      <c r="F4" s="7"/>
      <c r="G4" s="7"/>
    </row>
    <row r="5" spans="2:7" ht="30" customHeight="1" x14ac:dyDescent="0.35">
      <c r="B5" s="8"/>
      <c r="C5" s="9" t="s">
        <v>3</v>
      </c>
      <c r="D5" s="10" t="s">
        <v>4</v>
      </c>
      <c r="E5" s="7"/>
      <c r="F5" s="7"/>
      <c r="G5" s="7"/>
    </row>
    <row r="6" spans="2:7" ht="25.5" customHeight="1" x14ac:dyDescent="0.35">
      <c r="B6" s="7"/>
      <c r="C6" s="7"/>
      <c r="D6" s="11" t="s">
        <v>5</v>
      </c>
      <c r="E6" s="7"/>
      <c r="F6" s="7"/>
      <c r="G6" s="7"/>
    </row>
    <row r="7" spans="2:7" ht="6.75" customHeight="1" x14ac:dyDescent="0.35">
      <c r="B7" s="7"/>
      <c r="C7" s="7"/>
      <c r="D7" s="7"/>
      <c r="E7" s="7"/>
      <c r="F7" s="7"/>
      <c r="G7" s="7"/>
    </row>
    <row r="8" spans="2:7" ht="18.75" customHeight="1" x14ac:dyDescent="0.35">
      <c r="B8" s="12" t="s">
        <v>6</v>
      </c>
      <c r="C8" s="12"/>
      <c r="D8" s="12"/>
      <c r="E8" s="7"/>
      <c r="F8" s="7"/>
      <c r="G8" s="7"/>
    </row>
    <row r="9" spans="2:7" ht="15" customHeight="1" x14ac:dyDescent="0.35">
      <c r="B9" s="7"/>
      <c r="C9" s="13" t="s">
        <v>7</v>
      </c>
      <c r="D9" s="14" t="s">
        <v>8</v>
      </c>
      <c r="E9" s="7"/>
      <c r="F9" s="7"/>
      <c r="G9" s="7"/>
    </row>
    <row r="10" spans="2:7" ht="15" customHeight="1" x14ac:dyDescent="0.35">
      <c r="B10" s="7"/>
      <c r="C10" s="13" t="s">
        <v>9</v>
      </c>
      <c r="D10" s="14" t="s">
        <v>10</v>
      </c>
      <c r="E10" s="7"/>
      <c r="F10" s="7"/>
      <c r="G10" s="7"/>
    </row>
    <row r="11" spans="2:7" ht="15" customHeight="1" x14ac:dyDescent="0.35">
      <c r="B11" s="7"/>
      <c r="C11" s="13" t="s">
        <v>11</v>
      </c>
      <c r="D11" s="14" t="s">
        <v>12</v>
      </c>
      <c r="E11" s="7"/>
      <c r="F11" s="7"/>
      <c r="G11" s="7"/>
    </row>
    <row r="12" spans="2:7" ht="15" customHeight="1" x14ac:dyDescent="0.35">
      <c r="B12" s="7"/>
      <c r="C12" s="13" t="s">
        <v>13</v>
      </c>
      <c r="D12" s="14" t="s">
        <v>14</v>
      </c>
      <c r="E12" s="7"/>
      <c r="F12" s="7"/>
      <c r="G12" s="7"/>
    </row>
    <row r="13" spans="2:7" ht="15" customHeight="1" x14ac:dyDescent="0.35">
      <c r="B13" s="7"/>
      <c r="C13" s="13" t="s">
        <v>15</v>
      </c>
      <c r="D13" s="14" t="s">
        <v>16</v>
      </c>
      <c r="E13" s="7"/>
      <c r="F13" s="7"/>
      <c r="G13" s="7"/>
    </row>
    <row r="14" spans="2:7" ht="15" customHeight="1" x14ac:dyDescent="0.35">
      <c r="B14" s="7"/>
      <c r="C14" s="13" t="s">
        <v>17</v>
      </c>
      <c r="D14" s="14" t="s">
        <v>18</v>
      </c>
      <c r="E14" s="7"/>
      <c r="F14" s="7"/>
      <c r="G14" s="7"/>
    </row>
    <row r="15" spans="2:7" ht="15" customHeight="1" x14ac:dyDescent="0.35">
      <c r="B15" s="7"/>
      <c r="C15" s="13" t="s">
        <v>19</v>
      </c>
      <c r="D15" s="14" t="s">
        <v>20</v>
      </c>
      <c r="E15" s="7"/>
      <c r="F15" s="7"/>
      <c r="G15" s="7"/>
    </row>
    <row r="16" spans="2:7" ht="15" customHeight="1" x14ac:dyDescent="0.35">
      <c r="B16" s="7"/>
      <c r="C16" s="13" t="s">
        <v>21</v>
      </c>
      <c r="D16" s="14" t="s">
        <v>22</v>
      </c>
      <c r="E16" s="7"/>
      <c r="F16" s="7"/>
      <c r="G16" s="7"/>
    </row>
    <row r="17" spans="2:7" ht="6.75" customHeight="1" x14ac:dyDescent="0.35">
      <c r="B17" s="7"/>
      <c r="C17" s="7"/>
      <c r="D17" s="7"/>
      <c r="E17" s="7"/>
      <c r="F17" s="7"/>
      <c r="G17" s="7"/>
    </row>
    <row r="18" spans="2:7" ht="18.75" customHeight="1" x14ac:dyDescent="0.35">
      <c r="B18" s="12" t="s">
        <v>23</v>
      </c>
      <c r="C18" s="12"/>
      <c r="D18" s="12"/>
      <c r="E18" s="7"/>
      <c r="F18" s="7"/>
      <c r="G18" s="7"/>
    </row>
    <row r="19" spans="2:7" ht="15" customHeight="1" x14ac:dyDescent="0.35">
      <c r="B19" s="7"/>
      <c r="C19" s="15" t="s">
        <v>24</v>
      </c>
      <c r="D19" s="14" t="s">
        <v>656</v>
      </c>
      <c r="E19" s="7"/>
      <c r="F19" s="7"/>
      <c r="G19" s="7"/>
    </row>
    <row r="20" spans="2:7" ht="15" customHeight="1" x14ac:dyDescent="0.35">
      <c r="B20" s="7"/>
      <c r="C20" s="15" t="s">
        <v>25</v>
      </c>
      <c r="D20" s="14" t="s">
        <v>26</v>
      </c>
      <c r="E20" s="7"/>
      <c r="F20" s="7"/>
      <c r="G20" s="7"/>
    </row>
    <row r="21" spans="2:7" ht="15" customHeight="1" x14ac:dyDescent="0.35">
      <c r="B21" s="7"/>
      <c r="C21" s="15" t="s">
        <v>27</v>
      </c>
      <c r="D21" s="14" t="s">
        <v>28</v>
      </c>
      <c r="E21" s="7"/>
      <c r="F21" s="7"/>
      <c r="G21" s="7"/>
    </row>
    <row r="22" spans="2:7" ht="15" customHeight="1" x14ac:dyDescent="0.35">
      <c r="B22" s="7"/>
      <c r="C22" s="15" t="s">
        <v>29</v>
      </c>
      <c r="D22" s="14" t="s">
        <v>30</v>
      </c>
      <c r="E22" s="7"/>
      <c r="F22" s="7"/>
      <c r="G22" s="7"/>
    </row>
    <row r="23" spans="2:7" ht="15" customHeight="1" x14ac:dyDescent="0.35">
      <c r="B23" s="7"/>
      <c r="C23" s="15" t="s">
        <v>31</v>
      </c>
      <c r="D23" s="14" t="s">
        <v>32</v>
      </c>
      <c r="E23" s="7"/>
      <c r="F23" s="7"/>
      <c r="G23" s="7"/>
    </row>
    <row r="24" spans="2:7" ht="15" customHeight="1" x14ac:dyDescent="0.35">
      <c r="B24" s="7"/>
      <c r="C24" s="15" t="s">
        <v>33</v>
      </c>
      <c r="D24" s="14" t="s">
        <v>34</v>
      </c>
      <c r="E24" s="7"/>
      <c r="F24" s="7"/>
      <c r="G24" s="7"/>
    </row>
    <row r="25" spans="2:7" ht="15" customHeight="1" x14ac:dyDescent="0.35">
      <c r="B25" s="7"/>
      <c r="C25" s="15" t="s">
        <v>35</v>
      </c>
      <c r="D25" s="14" t="s">
        <v>36</v>
      </c>
      <c r="E25" s="7"/>
      <c r="F25" s="7"/>
      <c r="G25" s="7"/>
    </row>
    <row r="26" spans="2:7" ht="15" customHeight="1" x14ac:dyDescent="0.35">
      <c r="B26" s="7"/>
      <c r="C26" s="15" t="s">
        <v>37</v>
      </c>
      <c r="D26" s="14" t="s">
        <v>38</v>
      </c>
      <c r="E26" s="7"/>
      <c r="F26" s="7"/>
      <c r="G26" s="7"/>
    </row>
    <row r="27" spans="2:7" ht="6.75" customHeight="1" x14ac:dyDescent="0.35">
      <c r="B27" s="7"/>
      <c r="C27" s="7"/>
      <c r="D27" s="7"/>
      <c r="E27" s="7"/>
      <c r="F27" s="7"/>
      <c r="G27" s="7"/>
    </row>
    <row r="28" spans="2:7" ht="18.75" customHeight="1" x14ac:dyDescent="0.35">
      <c r="B28" s="12" t="s">
        <v>39</v>
      </c>
      <c r="C28" s="12"/>
      <c r="D28" s="12"/>
      <c r="E28" s="7"/>
      <c r="F28" s="7"/>
      <c r="G28" s="7"/>
    </row>
    <row r="29" spans="2:7" ht="15" customHeight="1" x14ac:dyDescent="0.35">
      <c r="B29" s="7"/>
      <c r="C29" s="16" t="s">
        <v>40</v>
      </c>
      <c r="D29" s="14" t="s">
        <v>41</v>
      </c>
      <c r="E29" s="7"/>
      <c r="F29" s="7"/>
      <c r="G29" s="7"/>
    </row>
    <row r="30" spans="2:7" ht="15" customHeight="1" x14ac:dyDescent="0.35">
      <c r="B30" s="7"/>
      <c r="C30" s="17" t="s">
        <v>42</v>
      </c>
      <c r="D30" s="14" t="s">
        <v>43</v>
      </c>
      <c r="E30" s="7"/>
      <c r="F30" s="7"/>
      <c r="G30" s="7"/>
    </row>
    <row r="31" spans="2:7" ht="15" customHeight="1" x14ac:dyDescent="0.35">
      <c r="B31" s="7"/>
      <c r="C31" s="18" t="s">
        <v>44</v>
      </c>
      <c r="D31" s="14" t="s">
        <v>45</v>
      </c>
      <c r="E31" s="7"/>
      <c r="F31" s="7"/>
      <c r="G31" s="7"/>
    </row>
    <row r="32" spans="2:7" ht="15" customHeight="1" x14ac:dyDescent="0.35">
      <c r="B32" s="7"/>
      <c r="C32" s="19" t="s">
        <v>46</v>
      </c>
      <c r="D32" s="14" t="s">
        <v>47</v>
      </c>
      <c r="E32" s="7"/>
      <c r="F32" s="7"/>
      <c r="G32" s="7"/>
    </row>
    <row r="33" spans="2:7" ht="6.75" customHeight="1" x14ac:dyDescent="0.35">
      <c r="B33" s="7"/>
      <c r="C33" s="7"/>
      <c r="D33" s="7"/>
      <c r="E33" s="7"/>
      <c r="F33" s="7"/>
      <c r="G33" s="7"/>
    </row>
    <row r="34" spans="2:7" ht="18.75" customHeight="1" x14ac:dyDescent="0.35">
      <c r="B34" s="12" t="s">
        <v>48</v>
      </c>
      <c r="C34" s="12"/>
      <c r="D34" s="12"/>
      <c r="E34" s="7"/>
      <c r="F34" s="7"/>
      <c r="G34" s="7"/>
    </row>
    <row r="35" spans="2:7" ht="24" customHeight="1" x14ac:dyDescent="0.35">
      <c r="B35" s="7"/>
      <c r="C35" s="13" t="s">
        <v>49</v>
      </c>
      <c r="D35" s="20" t="s">
        <v>50</v>
      </c>
      <c r="E35" s="7"/>
      <c r="F35" s="7"/>
      <c r="G35" s="7"/>
    </row>
    <row r="36" spans="2:7" ht="24" customHeight="1" x14ac:dyDescent="0.35">
      <c r="B36" s="7"/>
      <c r="C36" s="13" t="s">
        <v>51</v>
      </c>
      <c r="D36" s="20" t="s">
        <v>52</v>
      </c>
      <c r="E36" s="7"/>
      <c r="F36" s="7"/>
      <c r="G36" s="7"/>
    </row>
    <row r="37" spans="2:7" ht="24" customHeight="1" x14ac:dyDescent="0.35">
      <c r="B37" s="7"/>
      <c r="C37" s="13" t="s">
        <v>53</v>
      </c>
      <c r="D37" s="20" t="s">
        <v>54</v>
      </c>
      <c r="E37" s="7"/>
      <c r="F37" s="7"/>
      <c r="G37" s="7"/>
    </row>
    <row r="38" spans="2:7" ht="24" customHeight="1" x14ac:dyDescent="0.35">
      <c r="B38" s="7"/>
      <c r="C38" s="13" t="s">
        <v>33</v>
      </c>
      <c r="D38" s="20" t="s">
        <v>55</v>
      </c>
      <c r="E38" s="7"/>
      <c r="F38" s="7"/>
      <c r="G38" s="7"/>
    </row>
    <row r="39" spans="2:7" ht="24" customHeight="1" x14ac:dyDescent="0.35">
      <c r="B39" s="7"/>
      <c r="C39" s="13" t="s">
        <v>56</v>
      </c>
      <c r="D39" s="20" t="s">
        <v>57</v>
      </c>
      <c r="E39" s="7"/>
      <c r="F39" s="7"/>
      <c r="G39" s="7"/>
    </row>
    <row r="40" spans="2:7" ht="6.75" customHeight="1" x14ac:dyDescent="0.35">
      <c r="B40" s="7"/>
      <c r="C40" s="7"/>
      <c r="D40" s="7"/>
      <c r="E40" s="7"/>
      <c r="F40" s="7"/>
      <c r="G40" s="7"/>
    </row>
    <row r="41" spans="2:7" ht="36" customHeight="1" x14ac:dyDescent="0.35">
      <c r="B41" s="7"/>
      <c r="C41" s="7"/>
      <c r="D41" s="21" t="s">
        <v>58</v>
      </c>
      <c r="E41" s="7"/>
      <c r="F41" s="7"/>
      <c r="G41" s="7"/>
    </row>
    <row r="42" spans="2:7" ht="36" customHeight="1" x14ac:dyDescent="0.35">
      <c r="B42" s="7"/>
      <c r="C42" s="7"/>
      <c r="D42" s="7"/>
      <c r="E42" s="7"/>
      <c r="F42" s="7"/>
      <c r="G42" s="7"/>
    </row>
    <row r="43" spans="2:7" ht="36" customHeight="1" x14ac:dyDescent="0.35">
      <c r="B43" s="7"/>
      <c r="C43" s="7"/>
      <c r="D43" s="7"/>
      <c r="E43" s="7"/>
      <c r="F43" s="7"/>
      <c r="G43" s="7"/>
    </row>
    <row r="44" spans="2:7" ht="36" customHeight="1" x14ac:dyDescent="0.35">
      <c r="B44" s="7"/>
      <c r="C44" s="7"/>
      <c r="D44" s="7"/>
      <c r="E44" s="7"/>
      <c r="F44" s="7"/>
      <c r="G44" s="7"/>
    </row>
    <row r="45" spans="2:7" ht="36" customHeight="1" x14ac:dyDescent="0.35">
      <c r="B45" s="7"/>
      <c r="C45" s="7"/>
      <c r="D45" s="7"/>
      <c r="E45" s="7"/>
      <c r="F45" s="7"/>
      <c r="G45" s="7"/>
    </row>
    <row r="46" spans="2:7" ht="15" customHeight="1" x14ac:dyDescent="0.35">
      <c r="B46" s="7"/>
      <c r="C46" s="7"/>
      <c r="D46" s="7"/>
      <c r="E46" s="7"/>
      <c r="F46" s="7"/>
      <c r="G46" s="7"/>
    </row>
    <row r="47" spans="2:7" ht="15" customHeight="1" x14ac:dyDescent="0.35">
      <c r="B47" s="7"/>
      <c r="C47" s="7"/>
      <c r="D47" s="7"/>
      <c r="E47" s="7"/>
      <c r="F47" s="7"/>
      <c r="G47" s="7"/>
    </row>
    <row r="48" spans="2:7" ht="15" customHeight="1" x14ac:dyDescent="0.35">
      <c r="B48" s="7"/>
      <c r="C48" s="7"/>
      <c r="D48" s="7"/>
      <c r="E48" s="7"/>
      <c r="F48" s="7"/>
      <c r="G48" s="7"/>
    </row>
    <row r="49" spans="2:7" ht="15" customHeight="1" x14ac:dyDescent="0.35">
      <c r="B49" s="7"/>
      <c r="C49" s="7"/>
      <c r="D49" s="7"/>
      <c r="E49" s="7"/>
      <c r="F49" s="7"/>
      <c r="G49" s="7"/>
    </row>
    <row r="50" spans="2:7" ht="15" customHeight="1" x14ac:dyDescent="0.35">
      <c r="B50" s="7"/>
      <c r="C50" s="7"/>
      <c r="D50" s="7"/>
      <c r="E50" s="7"/>
      <c r="F50" s="7"/>
      <c r="G50" s="7"/>
    </row>
    <row r="51" spans="2:7" ht="15" customHeight="1" x14ac:dyDescent="0.35">
      <c r="B51" s="7"/>
      <c r="C51" s="7"/>
      <c r="D51" s="7"/>
      <c r="E51" s="7"/>
      <c r="F51" s="7"/>
      <c r="G51" s="7"/>
    </row>
    <row r="52" spans="2:7" ht="15" customHeight="1" x14ac:dyDescent="0.35">
      <c r="B52" s="7"/>
      <c r="C52" s="7"/>
      <c r="D52" s="7"/>
      <c r="E52" s="7"/>
      <c r="F52" s="7"/>
      <c r="G52" s="7"/>
    </row>
    <row r="53" spans="2:7" ht="15" customHeight="1" x14ac:dyDescent="0.35">
      <c r="B53" s="7"/>
      <c r="C53" s="7"/>
      <c r="D53" s="7"/>
      <c r="E53" s="7"/>
      <c r="F53" s="7"/>
      <c r="G53" s="7"/>
    </row>
    <row r="54" spans="2:7" ht="15" customHeight="1" x14ac:dyDescent="0.35">
      <c r="B54" s="7"/>
      <c r="C54" s="7"/>
      <c r="D54" s="7"/>
      <c r="E54" s="7"/>
      <c r="F54" s="7"/>
      <c r="G54" s="7"/>
    </row>
    <row r="55" spans="2:7" ht="15" customHeight="1" x14ac:dyDescent="0.35">
      <c r="B55" s="7"/>
      <c r="C55" s="7"/>
      <c r="D55" s="7"/>
      <c r="E55" s="7"/>
      <c r="F55" s="7"/>
      <c r="G55" s="7"/>
    </row>
    <row r="56" spans="2:7" ht="15" customHeight="1" x14ac:dyDescent="0.35">
      <c r="B56" s="7"/>
      <c r="C56" s="7"/>
      <c r="D56" s="7"/>
      <c r="E56" s="7"/>
      <c r="F56" s="7"/>
      <c r="G56" s="7"/>
    </row>
    <row r="57" spans="2:7" ht="15" customHeight="1" x14ac:dyDescent="0.35">
      <c r="B57" s="7"/>
      <c r="C57" s="7"/>
      <c r="D57" s="7"/>
      <c r="E57" s="7"/>
      <c r="F57" s="7"/>
      <c r="G57" s="7"/>
    </row>
    <row r="58" spans="2:7" ht="15" customHeight="1" x14ac:dyDescent="0.35">
      <c r="B58" s="7"/>
      <c r="C58" s="7"/>
      <c r="D58" s="7"/>
      <c r="E58" s="7"/>
      <c r="F58" s="7"/>
      <c r="G58" s="7"/>
    </row>
    <row r="59" spans="2:7" ht="15" customHeight="1" x14ac:dyDescent="0.35">
      <c r="B59" s="7"/>
      <c r="C59" s="7"/>
      <c r="D59" s="7"/>
      <c r="E59" s="7"/>
      <c r="F59" s="7"/>
      <c r="G59" s="7"/>
    </row>
    <row r="60" spans="2:7" ht="15" customHeight="1" x14ac:dyDescent="0.35">
      <c r="B60" s="7"/>
      <c r="C60" s="7"/>
      <c r="D60" s="7"/>
      <c r="E60" s="7"/>
      <c r="F60" s="7"/>
      <c r="G60" s="7"/>
    </row>
    <row r="61" spans="2:7" ht="15" customHeight="1" x14ac:dyDescent="0.35">
      <c r="B61" s="7"/>
      <c r="C61" s="7"/>
      <c r="D61" s="7"/>
      <c r="E61" s="7"/>
      <c r="F61" s="7"/>
      <c r="G61" s="7"/>
    </row>
  </sheetData>
  <hyperlinks>
    <hyperlink ref="C19" location="'Dashboard'!A1" display="Dashboard" xr:uid="{00000000-0004-0000-0000-000000000000}"/>
    <hyperlink ref="C20" location="'Management Insights'!A1" display="Management Insights" xr:uid="{00000000-0004-0000-0000-000001000000}"/>
    <hyperlink ref="C21" location="'13W Cash Flow'!A1" display="13W Cash Flow" xr:uid="{00000000-0004-0000-0000-000002000000}"/>
    <hyperlink ref="C22" location="'Channel Profitability'!A1" display="Channel Profitability" xr:uid="{00000000-0004-0000-0000-000003000000}"/>
    <hyperlink ref="C23" location="'Store Break-Even'!A1" display="Store Break-Even" xr:uid="{00000000-0004-0000-0000-000004000000}"/>
    <hyperlink ref="C24" location="'Scenarios'!A1" display="Scenarios" xr:uid="{00000000-0004-0000-0000-000005000000}"/>
    <hyperlink ref="C25" location="'Assumptions'!A1" display="Assumptions" xr:uid="{00000000-0004-0000-0000-000006000000}"/>
    <hyperlink ref="C26" location="'Controls'!A1" display="Controls" xr:uid="{00000000-0004-0000-0000-000007000000}"/>
  </hyperlinks>
  <pageMargins left="0.35" right="0.35" top="0.45" bottom="0.45" header="0.511811023622047" footer="0.25"/>
  <pageSetup paperSize="9" orientation="landscape" horizontalDpi="300" verticalDpi="300"/>
  <headerFooter>
    <oddFooter>&amp;L&amp;8 &amp;K808080Atelier North Pte. Ltd.  ·  synthetic FP&amp;&amp;A portfolio model&amp;R&amp;8 &amp;K808080&amp;A  ·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5C8A"/>
    <pageSetUpPr fitToPage="1"/>
  </sheetPr>
  <dimension ref="B1:P131"/>
  <sheetViews>
    <sheetView showGridLines="0" showRowColHeaders="0" tabSelected="1" zoomScaleNormal="100" workbookViewId="0">
      <selection activeCell="B2" sqref="B2"/>
    </sheetView>
  </sheetViews>
  <sheetFormatPr defaultColWidth="8.54296875" defaultRowHeight="14.5" x14ac:dyDescent="0.35"/>
  <cols>
    <col min="1" max="1" width="1.6328125" customWidth="1"/>
    <col min="2" max="4" width="12.7265625" customWidth="1"/>
    <col min="5" max="5" width="1.81640625" customWidth="1"/>
    <col min="6" max="8" width="12.7265625" customWidth="1"/>
    <col min="9" max="9" width="1.81640625" customWidth="1"/>
    <col min="10" max="12" width="12.7265625" customWidth="1"/>
    <col min="13" max="13" width="1.81640625" customWidth="1"/>
    <col min="14" max="16" width="12.7265625" customWidth="1"/>
  </cols>
  <sheetData>
    <row r="1" spans="2:16" ht="9" customHeight="1" x14ac:dyDescent="0.35"/>
    <row r="2" spans="2:16" ht="26" customHeight="1" x14ac:dyDescent="0.35">
      <c r="B2" s="173" t="s">
        <v>0</v>
      </c>
      <c r="C2" s="175"/>
      <c r="D2" s="175"/>
      <c r="E2" s="175"/>
      <c r="F2" s="175"/>
      <c r="G2" s="175"/>
      <c r="H2" s="175"/>
      <c r="I2" s="175"/>
      <c r="J2" s="175"/>
      <c r="K2" s="175"/>
      <c r="L2" s="175"/>
      <c r="M2" s="175"/>
      <c r="N2" s="175"/>
      <c r="O2" s="175"/>
      <c r="P2" s="174" t="s">
        <v>1</v>
      </c>
    </row>
    <row r="3" spans="2:16" ht="20" customHeight="1" x14ac:dyDescent="0.35">
      <c r="B3" s="176" t="s">
        <v>541</v>
      </c>
      <c r="C3" s="177"/>
      <c r="D3" s="177"/>
      <c r="E3" s="177"/>
      <c r="F3" s="177"/>
      <c r="G3" s="177"/>
      <c r="H3" s="177"/>
      <c r="I3" s="177"/>
      <c r="J3" s="177"/>
      <c r="K3" s="177"/>
      <c r="L3" s="177"/>
      <c r="M3" s="177"/>
      <c r="N3" s="177"/>
      <c r="O3" s="177"/>
      <c r="P3" s="177"/>
    </row>
    <row r="4" spans="2:16" ht="6" customHeight="1" x14ac:dyDescent="0.35">
      <c r="B4" s="7"/>
      <c r="C4" s="7"/>
      <c r="D4" s="7"/>
      <c r="E4" s="7"/>
      <c r="F4" s="7"/>
      <c r="G4" s="7"/>
      <c r="H4" s="7"/>
      <c r="I4" s="7"/>
      <c r="J4" s="7"/>
      <c r="K4" s="7"/>
      <c r="L4" s="7"/>
      <c r="M4" s="7"/>
      <c r="N4" s="7"/>
      <c r="O4" s="7"/>
      <c r="P4" s="7"/>
    </row>
    <row r="5" spans="2:16" ht="18.75" customHeight="1" x14ac:dyDescent="0.35">
      <c r="B5" s="12" t="s">
        <v>542</v>
      </c>
      <c r="C5" s="12"/>
      <c r="D5" s="12"/>
      <c r="E5" s="12"/>
      <c r="F5" s="12"/>
      <c r="G5" s="12"/>
      <c r="H5" s="12"/>
      <c r="I5" s="12"/>
      <c r="J5" s="12"/>
      <c r="K5" s="12"/>
      <c r="L5" s="12"/>
      <c r="M5" s="12"/>
      <c r="N5" s="12"/>
      <c r="O5" s="12"/>
      <c r="P5" s="12"/>
    </row>
    <row r="6" spans="2:16" ht="13.5" customHeight="1" x14ac:dyDescent="0.35">
      <c r="B6" s="102" t="s">
        <v>543</v>
      </c>
      <c r="C6" s="139"/>
      <c r="D6" s="140"/>
      <c r="E6" s="7"/>
      <c r="F6" s="102" t="s">
        <v>544</v>
      </c>
      <c r="G6" s="139"/>
      <c r="H6" s="140"/>
      <c r="I6" s="7"/>
      <c r="J6" s="102" t="s">
        <v>545</v>
      </c>
      <c r="K6" s="139"/>
      <c r="L6" s="140"/>
      <c r="M6" s="7"/>
      <c r="N6" s="102" t="s">
        <v>546</v>
      </c>
      <c r="O6" s="139"/>
      <c r="P6" s="140"/>
    </row>
    <row r="7" spans="2:16" ht="24.75" customHeight="1" x14ac:dyDescent="0.35">
      <c r="B7" s="183">
        <f>'13W Cash Flow'!$D$45</f>
        <v>205000</v>
      </c>
      <c r="C7" s="184"/>
      <c r="D7" s="185"/>
      <c r="E7" s="7"/>
      <c r="F7" s="183">
        <f>'13W Cash Flow'!$D$46</f>
        <v>139650.21652399999</v>
      </c>
      <c r="G7" s="184"/>
      <c r="H7" s="185"/>
      <c r="I7" s="7"/>
      <c r="J7" s="183">
        <f>'13W Cash Flow'!$D$51</f>
        <v>114528.43459999998</v>
      </c>
      <c r="K7" s="184"/>
      <c r="L7" s="185"/>
      <c r="M7" s="7"/>
      <c r="N7" s="186">
        <f>'13W Cash Flow'!$D$56</f>
        <v>27.78054827800208</v>
      </c>
      <c r="O7" s="187"/>
      <c r="P7" s="188"/>
    </row>
    <row r="8" spans="2:16" ht="13.5" customHeight="1" x14ac:dyDescent="0.35">
      <c r="B8" s="104" t="s">
        <v>547</v>
      </c>
      <c r="C8" s="141"/>
      <c r="D8" s="142"/>
      <c r="E8" s="7"/>
      <c r="F8" s="104" t="str">
        <f>"Net movement "&amp;TEXT('13W Cash Flow'!$D$47,"""S$""#,##0;(""S$""#,##0)")&amp;" over the quarter"</f>
        <v>Net movement (S$65,350) over the quarter</v>
      </c>
      <c r="G8" s="141"/>
      <c r="H8" s="142"/>
      <c r="I8" s="7"/>
      <c r="J8" s="104" t="str">
        <f>"Week "&amp;'13W Cash Flow'!$D$52&amp;"  ·  minimum buffer "&amp;TEXT('13W Cash Flow'!$D$41,"""S$""#,##0")</f>
        <v>Week 9  ·  minimum buffer S$120,000</v>
      </c>
      <c r="K8" s="141"/>
      <c r="L8" s="142"/>
      <c r="M8" s="7"/>
      <c r="N8" s="104" t="s">
        <v>548</v>
      </c>
      <c r="O8" s="141"/>
      <c r="P8" s="142"/>
    </row>
    <row r="9" spans="2:16" ht="6" customHeight="1" x14ac:dyDescent="0.35">
      <c r="B9" s="7"/>
      <c r="C9" s="7"/>
      <c r="D9" s="7"/>
      <c r="E9" s="7"/>
      <c r="F9" s="7"/>
      <c r="G9" s="7"/>
      <c r="H9" s="7"/>
      <c r="I9" s="7"/>
      <c r="J9" s="7"/>
      <c r="K9" s="7"/>
      <c r="L9" s="7"/>
      <c r="M9" s="7"/>
      <c r="N9" s="7"/>
      <c r="O9" s="7"/>
      <c r="P9" s="7"/>
    </row>
    <row r="10" spans="2:16" ht="18.75" customHeight="1" x14ac:dyDescent="0.35">
      <c r="B10" s="12" t="s">
        <v>549</v>
      </c>
      <c r="C10" s="12"/>
      <c r="D10" s="12"/>
      <c r="E10" s="12"/>
      <c r="F10" s="12"/>
      <c r="G10" s="12"/>
      <c r="H10" s="12"/>
      <c r="I10" s="12"/>
      <c r="J10" s="12"/>
      <c r="K10" s="12"/>
      <c r="L10" s="12"/>
      <c r="M10" s="12"/>
      <c r="N10" s="12"/>
      <c r="O10" s="12"/>
      <c r="P10" s="12"/>
    </row>
    <row r="11" spans="2:16" ht="13.5" customHeight="1" x14ac:dyDescent="0.35">
      <c r="B11" s="102" t="s">
        <v>550</v>
      </c>
      <c r="C11" s="139"/>
      <c r="D11" s="140"/>
      <c r="E11" s="7"/>
      <c r="F11" s="102" t="s">
        <v>551</v>
      </c>
      <c r="G11" s="139"/>
      <c r="H11" s="140"/>
      <c r="I11" s="7"/>
      <c r="J11" s="102" t="s">
        <v>395</v>
      </c>
      <c r="K11" s="139"/>
      <c r="L11" s="140"/>
      <c r="M11" s="7"/>
      <c r="N11" s="102" t="s">
        <v>552</v>
      </c>
      <c r="O11" s="139"/>
      <c r="P11" s="140"/>
    </row>
    <row r="12" spans="2:16" ht="24.75" customHeight="1" x14ac:dyDescent="0.35">
      <c r="B12" s="183">
        <f>'13W Cash Flow'!$Q$77</f>
        <v>747630.46</v>
      </c>
      <c r="C12" s="184"/>
      <c r="D12" s="185"/>
      <c r="E12" s="7"/>
      <c r="F12" s="189">
        <f>'Channel Profitability'!$H$11</f>
        <v>0.59786243570743614</v>
      </c>
      <c r="G12" s="190"/>
      <c r="H12" s="191"/>
      <c r="I12" s="7"/>
      <c r="J12" s="183">
        <f>'Store Break-Even'!$D$28</f>
        <v>-1104.7200000000012</v>
      </c>
      <c r="K12" s="184"/>
      <c r="L12" s="185"/>
      <c r="M12" s="7"/>
      <c r="N12" s="183">
        <f>'Store Break-Even'!$D$35</f>
        <v>-2108.2442748091562</v>
      </c>
      <c r="O12" s="184"/>
      <c r="P12" s="185"/>
    </row>
    <row r="13" spans="2:16" ht="13.5" customHeight="1" x14ac:dyDescent="0.35">
      <c r="B13" s="104" t="s">
        <v>553</v>
      </c>
      <c r="C13" s="141"/>
      <c r="D13" s="142"/>
      <c r="E13" s="7"/>
      <c r="F13" s="104" t="s">
        <v>554</v>
      </c>
      <c r="G13" s="141"/>
      <c r="H13" s="142"/>
      <c r="I13" s="7"/>
      <c r="J13" s="104" t="s">
        <v>398</v>
      </c>
      <c r="K13" s="141"/>
      <c r="L13" s="142"/>
      <c r="M13" s="7"/>
      <c r="N13" s="104" t="str">
        <f>"Break-even "&amp;TEXT('Store Break-Even'!$D$32,"""S$""#,##0")&amp;" per month"</f>
        <v>Break-even S$84,828 per month</v>
      </c>
      <c r="O13" s="141"/>
      <c r="P13" s="142"/>
    </row>
    <row r="14" spans="2:16" ht="6" customHeight="1" x14ac:dyDescent="0.35">
      <c r="B14" s="7"/>
      <c r="C14" s="7"/>
      <c r="D14" s="7"/>
      <c r="E14" s="7"/>
      <c r="F14" s="7"/>
      <c r="G14" s="7"/>
      <c r="H14" s="7"/>
      <c r="I14" s="7"/>
      <c r="J14" s="7"/>
      <c r="K14" s="7"/>
      <c r="L14" s="7"/>
      <c r="M14" s="7"/>
      <c r="N14" s="7"/>
      <c r="O14" s="7"/>
      <c r="P14" s="7"/>
    </row>
    <row r="15" spans="2:16" ht="18.75" customHeight="1" x14ac:dyDescent="0.35">
      <c r="B15" s="12" t="s">
        <v>555</v>
      </c>
      <c r="C15" s="12"/>
      <c r="D15" s="12"/>
      <c r="E15" s="12"/>
      <c r="F15" s="12"/>
      <c r="G15" s="12"/>
      <c r="H15" s="12"/>
      <c r="I15" s="12"/>
      <c r="J15" s="12"/>
      <c r="K15" s="12"/>
      <c r="L15" s="12"/>
      <c r="M15" s="12"/>
      <c r="N15" s="12"/>
      <c r="O15" s="12"/>
      <c r="P15" s="12"/>
    </row>
    <row r="16" spans="2:16" ht="24" customHeight="1" x14ac:dyDescent="0.35">
      <c r="B16" s="182" t="str">
        <f>"Cash bottoms out at "&amp;TEXT('13W Cash Flow'!$D$51,"""S$""#,##0")&amp;" in Week "&amp;'13W Cash Flow'!$D$52&amp;IF('13W Cash Flow'!$D$54&lt;0,", which is "&amp;TEXT(-'13W Cash Flow'!$D$54,"""S$""#,##0")&amp;" below the minimum buffer in "&amp;'13W Cash Flow'!$D$55&amp;IF('13W Cash Flow'!$D$55=1," week"," weeks"),", leaving "&amp;TEXT('13W Cash Flow'!$D$54,"""S$""#,##0")&amp;" of headroom")&amp;", before recovering to "&amp;TEXT('13W Cash Flow'!$D$46,"""S$""#,##0")&amp;" by Week 13."</f>
        <v>Cash bottoms out at S$114,528 in Week 9, which is S$5,472 below the minimum buffer in 1 week, before recovering to S$139,650 by Week 13.</v>
      </c>
      <c r="C16" s="182"/>
      <c r="D16" s="182"/>
      <c r="E16" s="182"/>
      <c r="F16" s="182"/>
      <c r="G16" s="182"/>
      <c r="H16" s="182"/>
      <c r="I16" s="182"/>
      <c r="J16" s="182"/>
      <c r="K16" s="182"/>
      <c r="L16" s="182"/>
      <c r="M16" s="182"/>
      <c r="N16" s="182"/>
      <c r="O16" s="182"/>
      <c r="P16" s="182"/>
    </row>
    <row r="17" spans="2:16" ht="24" customHeight="1" x14ac:dyDescent="0.35">
      <c r="B17" s="182" t="str">
        <f>"Inventory and supplier payments take "&amp;TEXT('13W Cash Flow'!$Q$21/'13W Cash Flow'!$Q$36,"0.0%")&amp;" of 13-week outflows "&amp;"("&amp;TEXT('13W Cash Flow'!$Q$21,"""S$""#,##0")&amp;") - the AW26 buy, not trading, is what drains the cash."</f>
        <v>Inventory and supplier payments take 52.5% of 13-week outflows (S$409,023) - the AW26 buy, not trading, is what drains the cash.</v>
      </c>
      <c r="C17" s="182"/>
      <c r="D17" s="182"/>
      <c r="E17" s="182"/>
      <c r="F17" s="182"/>
      <c r="G17" s="182"/>
      <c r="H17" s="182"/>
      <c r="I17" s="182"/>
      <c r="J17" s="182"/>
      <c r="K17" s="182"/>
      <c r="L17" s="182"/>
      <c r="M17" s="182"/>
      <c r="N17" s="182"/>
      <c r="O17" s="182"/>
      <c r="P17" s="182"/>
    </row>
    <row r="18" spans="2:16" ht="24" customHeight="1" x14ac:dyDescent="0.35">
      <c r="B18" s="182" t="str">
        <f>"The flagship store trades "&amp;TEXT(ABS('Store Break-Even'!$D$36),"0.0%")&amp;IF('Store Break-Even'!$D$36&lt;0," below"," above")&amp;" break-even, but earns the highest contribution margin of any channel at "&amp;TEXT('Channel Profitability'!$D$23,"0.0%")&amp;"; e-commerce delivers the largest direct channel profit at "&amp;TEXT('Channel Profitability'!$E$34/6,"""S$""#,##0")&amp;" per month."</f>
        <v>The flagship store trades 2.5% below break-even, but earns the highest contribution margin of any channel at 52.4%; e-commerce delivers the largest direct channel profit at S$28,478 per month.</v>
      </c>
      <c r="C18" s="182"/>
      <c r="D18" s="182"/>
      <c r="E18" s="182"/>
      <c r="F18" s="182"/>
      <c r="G18" s="182"/>
      <c r="H18" s="182"/>
      <c r="I18" s="182"/>
      <c r="J18" s="182"/>
      <c r="K18" s="182"/>
      <c r="L18" s="182"/>
      <c r="M18" s="182"/>
      <c r="N18" s="182"/>
      <c r="O18" s="182"/>
      <c r="P18" s="182"/>
    </row>
    <row r="19" spans="2:16" ht="24" customHeight="1" x14ac:dyDescent="0.35">
      <c r="B19" s="182" t="str">
        <f>"Store improvement ends Week 13 with "&amp;TEXT(Scenarios!$E$63,"""S$""#,##0")&amp;" of cash against "&amp;TEXT(Scenarios!$D$63,"""S$""#,##0")&amp;" as-is and "&amp;TEXT(Scenarios!$F$63,"""S$""#,##0")&amp;" on exit; closure needs "&amp;TEXT(Scenarios!$F$72,"0.0%")&amp;" of store demand to migrate online just to beat standing still."</f>
        <v>Store improvement ends Week 13 with S$163,302 of cash against S$139,650 as-is and S$110,579 on exit; closure needs 3.6% of store demand to migrate online just to beat standing still.</v>
      </c>
      <c r="C19" s="182"/>
      <c r="D19" s="182"/>
      <c r="E19" s="182"/>
      <c r="F19" s="182"/>
      <c r="G19" s="182"/>
      <c r="H19" s="182"/>
      <c r="I19" s="182"/>
      <c r="J19" s="182"/>
      <c r="K19" s="182"/>
      <c r="L19" s="182"/>
      <c r="M19" s="182"/>
      <c r="N19" s="182"/>
      <c r="O19" s="182"/>
      <c r="P19" s="182"/>
    </row>
    <row r="20" spans="2:16" ht="7.5" customHeight="1" x14ac:dyDescent="0.35">
      <c r="B20" s="7"/>
      <c r="C20" s="7"/>
      <c r="D20" s="7"/>
      <c r="E20" s="7"/>
      <c r="F20" s="7"/>
      <c r="G20" s="7"/>
      <c r="H20" s="7"/>
      <c r="I20" s="7"/>
      <c r="J20" s="7"/>
      <c r="K20" s="7"/>
      <c r="L20" s="7"/>
      <c r="M20" s="7"/>
      <c r="N20" s="7"/>
      <c r="O20" s="7"/>
      <c r="P20" s="7"/>
    </row>
    <row r="21" spans="2:16" ht="15" customHeight="1" x14ac:dyDescent="0.35">
      <c r="B21" s="7"/>
      <c r="C21" s="7"/>
      <c r="D21" s="7"/>
      <c r="E21" s="7"/>
      <c r="F21" s="7"/>
      <c r="G21" s="7"/>
      <c r="H21" s="7"/>
      <c r="I21" s="7"/>
      <c r="J21" s="7"/>
      <c r="K21" s="7"/>
      <c r="L21" s="7"/>
      <c r="M21" s="7"/>
      <c r="N21" s="7"/>
      <c r="O21" s="7"/>
      <c r="P21" s="7"/>
    </row>
    <row r="22" spans="2:16" ht="15" customHeight="1" x14ac:dyDescent="0.35">
      <c r="B22" s="7"/>
      <c r="C22" s="7"/>
      <c r="D22" s="7"/>
      <c r="E22" s="7"/>
      <c r="F22" s="7"/>
      <c r="G22" s="7"/>
      <c r="H22" s="7"/>
      <c r="I22" s="7"/>
      <c r="J22" s="7"/>
      <c r="K22" s="7"/>
      <c r="L22" s="7"/>
      <c r="M22" s="7"/>
      <c r="N22" s="7"/>
      <c r="O22" s="7"/>
      <c r="P22" s="7"/>
    </row>
    <row r="23" spans="2:16" ht="15" customHeight="1" x14ac:dyDescent="0.35">
      <c r="B23" s="7"/>
      <c r="C23" s="7"/>
      <c r="D23" s="7"/>
      <c r="E23" s="7"/>
      <c r="F23" s="7"/>
      <c r="G23" s="7"/>
      <c r="H23" s="7"/>
      <c r="I23" s="7"/>
      <c r="J23" s="7"/>
      <c r="K23" s="7"/>
      <c r="L23" s="7"/>
      <c r="M23" s="7"/>
      <c r="N23" s="7"/>
      <c r="O23" s="7"/>
      <c r="P23" s="7"/>
    </row>
    <row r="24" spans="2:16" ht="15" customHeight="1" x14ac:dyDescent="0.35">
      <c r="B24" s="7"/>
      <c r="C24" s="7"/>
      <c r="D24" s="7"/>
      <c r="E24" s="7"/>
      <c r="F24" s="7"/>
      <c r="G24" s="7"/>
      <c r="H24" s="7"/>
      <c r="I24" s="7"/>
      <c r="J24" s="7"/>
      <c r="K24" s="7"/>
      <c r="L24" s="7"/>
      <c r="M24" s="7"/>
      <c r="N24" s="7"/>
      <c r="O24" s="7"/>
      <c r="P24" s="7"/>
    </row>
    <row r="25" spans="2:16" ht="15" customHeight="1" x14ac:dyDescent="0.35">
      <c r="B25" s="7"/>
      <c r="C25" s="7"/>
      <c r="D25" s="7"/>
      <c r="E25" s="7"/>
      <c r="F25" s="7"/>
      <c r="G25" s="7"/>
      <c r="H25" s="7"/>
      <c r="I25" s="7"/>
      <c r="J25" s="7"/>
      <c r="K25" s="7"/>
      <c r="L25" s="7"/>
      <c r="M25" s="7"/>
      <c r="N25" s="7"/>
      <c r="O25" s="7"/>
      <c r="P25" s="7"/>
    </row>
    <row r="26" spans="2:16" ht="15" customHeight="1" x14ac:dyDescent="0.35">
      <c r="B26" s="7"/>
      <c r="C26" s="7"/>
      <c r="D26" s="7"/>
      <c r="E26" s="7"/>
      <c r="F26" s="7"/>
      <c r="G26" s="7"/>
      <c r="H26" s="7"/>
      <c r="I26" s="7"/>
      <c r="J26" s="7"/>
      <c r="K26" s="7"/>
      <c r="L26" s="7"/>
      <c r="M26" s="7"/>
      <c r="N26" s="7"/>
      <c r="O26" s="7"/>
      <c r="P26" s="7"/>
    </row>
    <row r="27" spans="2:16" ht="15" customHeight="1" x14ac:dyDescent="0.35">
      <c r="B27" s="7"/>
      <c r="C27" s="7"/>
      <c r="D27" s="7"/>
      <c r="E27" s="7"/>
      <c r="F27" s="7"/>
      <c r="G27" s="7"/>
      <c r="H27" s="7"/>
      <c r="I27" s="7"/>
      <c r="J27" s="7"/>
      <c r="K27" s="7"/>
      <c r="L27" s="7"/>
      <c r="M27" s="7"/>
      <c r="N27" s="7"/>
      <c r="O27" s="7"/>
      <c r="P27" s="7"/>
    </row>
    <row r="28" spans="2:16" ht="15" customHeight="1" x14ac:dyDescent="0.35">
      <c r="B28" s="7"/>
      <c r="C28" s="7"/>
      <c r="D28" s="7"/>
      <c r="E28" s="7"/>
      <c r="F28" s="7"/>
      <c r="G28" s="7"/>
      <c r="H28" s="7"/>
      <c r="I28" s="7"/>
      <c r="J28" s="7"/>
      <c r="K28" s="7"/>
      <c r="L28" s="7"/>
      <c r="M28" s="7"/>
      <c r="N28" s="7"/>
      <c r="O28" s="7"/>
      <c r="P28" s="7"/>
    </row>
    <row r="29" spans="2:16" ht="15" customHeight="1" x14ac:dyDescent="0.35">
      <c r="B29" s="7"/>
      <c r="C29" s="7"/>
      <c r="D29" s="7"/>
      <c r="E29" s="7"/>
      <c r="F29" s="7"/>
      <c r="G29" s="7"/>
      <c r="H29" s="7"/>
      <c r="I29" s="7"/>
      <c r="J29" s="7"/>
      <c r="K29" s="7"/>
      <c r="L29" s="7"/>
      <c r="M29" s="7"/>
      <c r="N29" s="7"/>
      <c r="O29" s="7"/>
      <c r="P29" s="7"/>
    </row>
    <row r="30" spans="2:16" ht="15" customHeight="1" x14ac:dyDescent="0.35">
      <c r="B30" s="7"/>
      <c r="C30" s="7"/>
      <c r="D30" s="7"/>
      <c r="E30" s="7"/>
      <c r="F30" s="7"/>
      <c r="G30" s="7"/>
      <c r="H30" s="7"/>
      <c r="I30" s="7"/>
      <c r="J30" s="7"/>
      <c r="K30" s="7"/>
      <c r="L30" s="7"/>
      <c r="M30" s="7"/>
      <c r="N30" s="7"/>
      <c r="O30" s="7"/>
      <c r="P30" s="7"/>
    </row>
    <row r="31" spans="2:16" ht="15" customHeight="1" x14ac:dyDescent="0.35">
      <c r="B31" s="7"/>
      <c r="C31" s="7"/>
      <c r="D31" s="7"/>
      <c r="E31" s="7"/>
      <c r="F31" s="7"/>
      <c r="G31" s="7"/>
      <c r="H31" s="7"/>
      <c r="I31" s="7"/>
      <c r="J31" s="7"/>
      <c r="K31" s="7"/>
      <c r="L31" s="7"/>
      <c r="M31" s="7"/>
      <c r="N31" s="7"/>
      <c r="O31" s="7"/>
      <c r="P31" s="7"/>
    </row>
    <row r="32" spans="2:16" ht="15" customHeight="1" x14ac:dyDescent="0.35">
      <c r="B32" s="7"/>
      <c r="C32" s="7"/>
      <c r="D32" s="7"/>
      <c r="E32" s="7"/>
      <c r="F32" s="7"/>
      <c r="G32" s="7"/>
      <c r="H32" s="7"/>
      <c r="I32" s="7"/>
      <c r="J32" s="7"/>
      <c r="K32" s="7"/>
      <c r="L32" s="7"/>
      <c r="M32" s="7"/>
      <c r="N32" s="7"/>
      <c r="O32" s="7"/>
      <c r="P32" s="7"/>
    </row>
    <row r="33" spans="2:16" ht="15" customHeight="1" x14ac:dyDescent="0.35">
      <c r="B33" s="7"/>
      <c r="C33" s="7"/>
      <c r="D33" s="7"/>
      <c r="E33" s="7"/>
      <c r="F33" s="7"/>
      <c r="G33" s="7"/>
      <c r="H33" s="7"/>
      <c r="I33" s="7"/>
      <c r="J33" s="7"/>
      <c r="K33" s="7"/>
      <c r="L33" s="7"/>
      <c r="M33" s="7"/>
      <c r="N33" s="7"/>
      <c r="O33" s="7"/>
      <c r="P33" s="7"/>
    </row>
    <row r="34" spans="2:16" ht="15" customHeight="1" x14ac:dyDescent="0.35">
      <c r="B34" s="7"/>
      <c r="C34" s="7"/>
      <c r="D34" s="7"/>
      <c r="E34" s="7"/>
      <c r="F34" s="7"/>
      <c r="G34" s="7"/>
      <c r="H34" s="7"/>
      <c r="I34" s="7"/>
      <c r="J34" s="7"/>
      <c r="K34" s="7"/>
      <c r="L34" s="7"/>
      <c r="M34" s="7"/>
      <c r="N34" s="7"/>
      <c r="O34" s="7"/>
      <c r="P34" s="7"/>
    </row>
    <row r="35" spans="2:16" ht="15" customHeight="1" x14ac:dyDescent="0.35">
      <c r="B35" s="7"/>
      <c r="C35" s="7"/>
      <c r="D35" s="7"/>
      <c r="E35" s="7"/>
      <c r="F35" s="7"/>
      <c r="G35" s="7"/>
      <c r="H35" s="7"/>
      <c r="I35" s="7"/>
      <c r="J35" s="7"/>
      <c r="K35" s="7"/>
      <c r="L35" s="7"/>
      <c r="M35" s="7"/>
      <c r="N35" s="7"/>
      <c r="O35" s="7"/>
      <c r="P35" s="7"/>
    </row>
    <row r="36" spans="2:16" ht="15" customHeight="1" x14ac:dyDescent="0.35">
      <c r="B36" s="7"/>
      <c r="C36" s="7"/>
      <c r="D36" s="7"/>
      <c r="E36" s="7"/>
      <c r="F36" s="7"/>
      <c r="G36" s="7"/>
      <c r="H36" s="7"/>
      <c r="I36" s="7"/>
      <c r="J36" s="7"/>
      <c r="K36" s="7"/>
      <c r="L36" s="7"/>
      <c r="M36" s="7"/>
      <c r="N36" s="7"/>
      <c r="O36" s="7"/>
      <c r="P36" s="7"/>
    </row>
    <row r="37" spans="2:16" ht="15" customHeight="1" x14ac:dyDescent="0.35">
      <c r="B37" s="7"/>
      <c r="C37" s="7"/>
      <c r="D37" s="7"/>
      <c r="E37" s="7"/>
      <c r="F37" s="7"/>
      <c r="G37" s="7"/>
      <c r="H37" s="7"/>
      <c r="I37" s="7"/>
      <c r="J37" s="7"/>
      <c r="K37" s="7"/>
      <c r="L37" s="7"/>
      <c r="M37" s="7"/>
      <c r="N37" s="7"/>
      <c r="O37" s="7"/>
      <c r="P37" s="7"/>
    </row>
    <row r="38" spans="2:16" ht="15" customHeight="1" x14ac:dyDescent="0.35">
      <c r="B38" s="7"/>
      <c r="C38" s="7"/>
      <c r="D38" s="7"/>
      <c r="E38" s="7"/>
      <c r="F38" s="7"/>
      <c r="G38" s="7"/>
      <c r="H38" s="7"/>
      <c r="I38" s="7"/>
      <c r="J38" s="7"/>
      <c r="K38" s="7"/>
      <c r="L38" s="7"/>
      <c r="M38" s="7"/>
      <c r="N38" s="7"/>
      <c r="O38" s="7"/>
      <c r="P38" s="7"/>
    </row>
    <row r="39" spans="2:16" ht="15" customHeight="1" x14ac:dyDescent="0.35">
      <c r="B39" s="7"/>
      <c r="C39" s="7"/>
      <c r="D39" s="7"/>
      <c r="E39" s="7"/>
      <c r="F39" s="7"/>
      <c r="G39" s="7"/>
      <c r="H39" s="7"/>
      <c r="I39" s="7"/>
      <c r="J39" s="7"/>
      <c r="K39" s="7"/>
      <c r="L39" s="7"/>
      <c r="M39" s="7"/>
      <c r="N39" s="7"/>
      <c r="O39" s="7"/>
      <c r="P39" s="7"/>
    </row>
    <row r="40" spans="2:16" ht="15" customHeight="1" x14ac:dyDescent="0.35">
      <c r="B40" s="7"/>
      <c r="C40" s="7"/>
      <c r="D40" s="7"/>
      <c r="E40" s="7"/>
      <c r="F40" s="7"/>
      <c r="G40" s="7"/>
      <c r="H40" s="7"/>
      <c r="I40" s="7"/>
      <c r="J40" s="7"/>
      <c r="K40" s="7"/>
      <c r="L40" s="7"/>
      <c r="M40" s="7"/>
      <c r="N40" s="7"/>
      <c r="O40" s="7"/>
      <c r="P40" s="7"/>
    </row>
    <row r="41" spans="2:16" ht="15" customHeight="1" x14ac:dyDescent="0.35">
      <c r="B41" s="7"/>
      <c r="C41" s="7"/>
      <c r="D41" s="7"/>
      <c r="E41" s="7"/>
      <c r="F41" s="7"/>
      <c r="G41" s="7"/>
      <c r="H41" s="7"/>
      <c r="I41" s="7"/>
      <c r="J41" s="7"/>
      <c r="K41" s="7"/>
      <c r="L41" s="7"/>
      <c r="M41" s="7"/>
      <c r="N41" s="7"/>
      <c r="O41" s="7"/>
      <c r="P41" s="7"/>
    </row>
    <row r="42" spans="2:16" ht="15" customHeight="1" x14ac:dyDescent="0.35">
      <c r="B42" s="7"/>
      <c r="C42" s="7"/>
      <c r="D42" s="7"/>
      <c r="E42" s="7"/>
      <c r="F42" s="7"/>
      <c r="G42" s="7"/>
      <c r="H42" s="7"/>
      <c r="I42" s="7"/>
      <c r="J42" s="7"/>
      <c r="K42" s="7"/>
      <c r="L42" s="7"/>
      <c r="M42" s="7"/>
      <c r="N42" s="7"/>
      <c r="O42" s="7"/>
      <c r="P42" s="7"/>
    </row>
    <row r="43" spans="2:16" ht="15" customHeight="1" x14ac:dyDescent="0.35">
      <c r="B43" s="7"/>
      <c r="C43" s="7"/>
      <c r="D43" s="7"/>
      <c r="E43" s="7"/>
      <c r="F43" s="7"/>
      <c r="G43" s="7"/>
      <c r="H43" s="7"/>
      <c r="I43" s="7"/>
      <c r="J43" s="7"/>
      <c r="K43" s="7"/>
      <c r="L43" s="7"/>
      <c r="M43" s="7"/>
      <c r="N43" s="7"/>
      <c r="O43" s="7"/>
      <c r="P43" s="7"/>
    </row>
    <row r="44" spans="2:16" ht="15" customHeight="1" x14ac:dyDescent="0.35">
      <c r="B44" s="7"/>
      <c r="C44" s="7"/>
      <c r="D44" s="7"/>
      <c r="E44" s="7"/>
      <c r="F44" s="7"/>
      <c r="G44" s="7"/>
      <c r="H44" s="7"/>
      <c r="I44" s="7"/>
      <c r="J44" s="7"/>
      <c r="K44" s="7"/>
      <c r="L44" s="7"/>
      <c r="M44" s="7"/>
      <c r="N44" s="7"/>
      <c r="O44" s="7"/>
      <c r="P44" s="7"/>
    </row>
    <row r="45" spans="2:16" ht="15" customHeight="1" x14ac:dyDescent="0.35">
      <c r="B45" s="7"/>
      <c r="C45" s="7"/>
      <c r="D45" s="7"/>
      <c r="E45" s="7"/>
      <c r="F45" s="7"/>
      <c r="G45" s="7"/>
      <c r="H45" s="7"/>
      <c r="I45" s="7"/>
      <c r="J45" s="7"/>
      <c r="K45" s="7"/>
      <c r="L45" s="7"/>
      <c r="M45" s="7"/>
      <c r="N45" s="7"/>
      <c r="O45" s="7"/>
      <c r="P45" s="7"/>
    </row>
    <row r="46" spans="2:16" ht="15" customHeight="1" x14ac:dyDescent="0.35">
      <c r="B46" s="7"/>
      <c r="C46" s="7"/>
      <c r="D46" s="7"/>
      <c r="E46" s="7"/>
      <c r="F46" s="7"/>
      <c r="G46" s="7"/>
      <c r="H46" s="7"/>
      <c r="I46" s="7"/>
      <c r="J46" s="7"/>
      <c r="K46" s="7"/>
      <c r="L46" s="7"/>
      <c r="M46" s="7"/>
      <c r="N46" s="7"/>
      <c r="O46" s="7"/>
      <c r="P46" s="7"/>
    </row>
    <row r="47" spans="2:16" ht="15" customHeight="1" x14ac:dyDescent="0.35">
      <c r="B47" s="7"/>
      <c r="C47" s="7"/>
      <c r="D47" s="7"/>
      <c r="E47" s="7"/>
      <c r="F47" s="7"/>
      <c r="G47" s="7"/>
      <c r="H47" s="7"/>
      <c r="I47" s="7"/>
      <c r="J47" s="7"/>
      <c r="K47" s="7"/>
      <c r="L47" s="7"/>
      <c r="M47" s="7"/>
      <c r="N47" s="7"/>
      <c r="O47" s="7"/>
      <c r="P47" s="7"/>
    </row>
    <row r="48" spans="2:16" ht="15" customHeight="1" x14ac:dyDescent="0.35">
      <c r="B48" s="7"/>
      <c r="C48" s="7"/>
      <c r="D48" s="7"/>
      <c r="E48" s="7"/>
      <c r="F48" s="7"/>
      <c r="G48" s="7"/>
      <c r="H48" s="7"/>
      <c r="I48" s="7"/>
      <c r="J48" s="7"/>
      <c r="K48" s="7"/>
      <c r="L48" s="7"/>
      <c r="M48" s="7"/>
      <c r="N48" s="7"/>
      <c r="O48" s="7"/>
      <c r="P48" s="7"/>
    </row>
    <row r="49" spans="2:16" ht="15" customHeight="1" x14ac:dyDescent="0.35">
      <c r="B49" s="7"/>
      <c r="C49" s="7"/>
      <c r="D49" s="7"/>
      <c r="E49" s="7"/>
      <c r="F49" s="7"/>
      <c r="G49" s="7"/>
      <c r="H49" s="7"/>
      <c r="I49" s="7"/>
      <c r="J49" s="7"/>
      <c r="K49" s="7"/>
      <c r="L49" s="7"/>
      <c r="M49" s="7"/>
      <c r="N49" s="7"/>
      <c r="O49" s="7"/>
      <c r="P49" s="7"/>
    </row>
    <row r="50" spans="2:16" ht="15" customHeight="1" x14ac:dyDescent="0.35">
      <c r="B50" s="7"/>
      <c r="C50" s="7"/>
      <c r="D50" s="7"/>
      <c r="E50" s="7"/>
      <c r="F50" s="7"/>
      <c r="G50" s="7"/>
      <c r="H50" s="7"/>
      <c r="I50" s="7"/>
      <c r="J50" s="7"/>
      <c r="K50" s="7"/>
      <c r="L50" s="7"/>
      <c r="M50" s="7"/>
      <c r="N50" s="7"/>
      <c r="O50" s="7"/>
      <c r="P50" s="7"/>
    </row>
    <row r="51" spans="2:16" ht="15" customHeight="1" x14ac:dyDescent="0.35">
      <c r="B51" s="7"/>
      <c r="C51" s="7"/>
      <c r="D51" s="7"/>
      <c r="E51" s="7"/>
      <c r="F51" s="7"/>
      <c r="G51" s="7"/>
      <c r="H51" s="7"/>
      <c r="I51" s="7"/>
      <c r="J51" s="7"/>
      <c r="K51" s="7"/>
      <c r="L51" s="7"/>
      <c r="M51" s="7"/>
      <c r="N51" s="7"/>
      <c r="O51" s="7"/>
      <c r="P51" s="7"/>
    </row>
    <row r="52" spans="2:16" ht="15" customHeight="1" x14ac:dyDescent="0.35">
      <c r="B52" s="7"/>
      <c r="C52" s="7"/>
      <c r="D52" s="7"/>
      <c r="E52" s="7"/>
      <c r="F52" s="7"/>
      <c r="G52" s="7"/>
      <c r="H52" s="7"/>
      <c r="I52" s="7"/>
      <c r="J52" s="7"/>
      <c r="K52" s="7"/>
      <c r="L52" s="7"/>
      <c r="M52" s="7"/>
      <c r="N52" s="7"/>
      <c r="O52" s="7"/>
      <c r="P52" s="7"/>
    </row>
    <row r="53" spans="2:16" ht="15" customHeight="1" x14ac:dyDescent="0.35">
      <c r="B53" s="7"/>
      <c r="C53" s="7"/>
      <c r="D53" s="7"/>
      <c r="E53" s="7"/>
      <c r="F53" s="7"/>
      <c r="G53" s="7"/>
      <c r="H53" s="7"/>
      <c r="I53" s="7"/>
      <c r="J53" s="7"/>
      <c r="K53" s="7"/>
      <c r="L53" s="7"/>
      <c r="M53" s="7"/>
      <c r="N53" s="7"/>
      <c r="O53" s="7"/>
      <c r="P53" s="7"/>
    </row>
    <row r="54" spans="2:16" ht="15" customHeight="1" x14ac:dyDescent="0.35">
      <c r="B54" s="7"/>
      <c r="C54" s="7"/>
      <c r="D54" s="7"/>
      <c r="E54" s="7"/>
      <c r="F54" s="7"/>
      <c r="G54" s="7"/>
      <c r="H54" s="7"/>
      <c r="I54" s="7"/>
      <c r="J54" s="7"/>
      <c r="K54" s="7"/>
      <c r="L54" s="7"/>
      <c r="M54" s="7"/>
      <c r="N54" s="7"/>
      <c r="O54" s="7"/>
      <c r="P54" s="7"/>
    </row>
    <row r="55" spans="2:16" ht="15" customHeight="1" x14ac:dyDescent="0.35">
      <c r="B55" s="143" t="s">
        <v>556</v>
      </c>
      <c r="C55" s="7"/>
      <c r="D55" s="7"/>
      <c r="E55" s="7"/>
      <c r="F55" s="7"/>
      <c r="G55" s="7"/>
      <c r="H55" s="7"/>
      <c r="I55" s="7"/>
      <c r="J55" s="7"/>
      <c r="K55" s="7"/>
      <c r="L55" s="7"/>
      <c r="M55" s="7"/>
      <c r="N55" s="7"/>
      <c r="O55" s="7"/>
      <c r="P55" s="7"/>
    </row>
    <row r="56" spans="2:16" ht="15" customHeight="1" x14ac:dyDescent="0.35">
      <c r="B56" s="7"/>
      <c r="C56" s="7"/>
      <c r="D56" s="7"/>
      <c r="E56" s="7"/>
      <c r="F56" s="7"/>
      <c r="G56" s="7"/>
      <c r="H56" s="7"/>
      <c r="I56" s="7"/>
      <c r="J56" s="7"/>
      <c r="K56" s="7"/>
      <c r="L56" s="7"/>
      <c r="M56" s="7"/>
      <c r="N56" s="7"/>
      <c r="O56" s="7"/>
      <c r="P56" s="7"/>
    </row>
    <row r="57" spans="2:16" ht="15" customHeight="1" x14ac:dyDescent="0.35">
      <c r="B57" s="7"/>
      <c r="C57" s="7"/>
      <c r="D57" s="7"/>
      <c r="E57" s="7"/>
      <c r="F57" s="7"/>
      <c r="G57" s="7"/>
      <c r="H57" s="7"/>
      <c r="I57" s="7"/>
      <c r="J57" s="7"/>
      <c r="K57" s="7"/>
      <c r="L57" s="7"/>
      <c r="M57" s="7"/>
      <c r="N57" s="7"/>
      <c r="O57" s="7"/>
      <c r="P57" s="7"/>
    </row>
    <row r="58" spans="2:16" ht="15" customHeight="1" x14ac:dyDescent="0.35">
      <c r="B58" s="7"/>
      <c r="C58" s="7"/>
      <c r="D58" s="7"/>
      <c r="E58" s="7"/>
      <c r="F58" s="7"/>
      <c r="G58" s="7"/>
      <c r="H58" s="7"/>
      <c r="I58" s="7"/>
      <c r="J58" s="7"/>
      <c r="K58" s="7"/>
      <c r="L58" s="7"/>
      <c r="M58" s="7"/>
      <c r="N58" s="7"/>
      <c r="O58" s="7"/>
      <c r="P58" s="7"/>
    </row>
    <row r="59" spans="2:16" ht="15" customHeight="1" x14ac:dyDescent="0.35">
      <c r="B59" s="7"/>
      <c r="C59" s="7"/>
      <c r="D59" s="7"/>
      <c r="E59" s="7"/>
      <c r="F59" s="7"/>
      <c r="G59" s="7"/>
      <c r="H59" s="7"/>
      <c r="I59" s="7"/>
      <c r="J59" s="7"/>
      <c r="K59" s="7"/>
      <c r="L59" s="7"/>
      <c r="M59" s="7"/>
      <c r="N59" s="7"/>
      <c r="O59" s="7"/>
      <c r="P59" s="7"/>
    </row>
    <row r="60" spans="2:16" ht="15" customHeight="1" x14ac:dyDescent="0.35">
      <c r="B60" s="7"/>
      <c r="C60" s="7"/>
      <c r="D60" s="7"/>
      <c r="E60" s="7"/>
      <c r="F60" s="7"/>
      <c r="G60" s="7"/>
      <c r="H60" s="7"/>
      <c r="I60" s="7"/>
      <c r="J60" s="7"/>
      <c r="K60" s="7"/>
      <c r="L60" s="7"/>
      <c r="M60" s="7"/>
      <c r="N60" s="7"/>
      <c r="O60" s="7"/>
      <c r="P60" s="7"/>
    </row>
    <row r="61" spans="2:16" ht="15" customHeight="1" x14ac:dyDescent="0.35">
      <c r="B61" s="7"/>
      <c r="C61" s="7"/>
      <c r="D61" s="7"/>
      <c r="E61" s="7"/>
      <c r="F61" s="7"/>
      <c r="G61" s="7"/>
      <c r="H61" s="7"/>
      <c r="I61" s="7"/>
      <c r="J61" s="7"/>
      <c r="K61" s="7"/>
      <c r="L61" s="7"/>
      <c r="M61" s="7"/>
      <c r="N61" s="7"/>
      <c r="O61" s="7"/>
      <c r="P61" s="7"/>
    </row>
    <row r="62" spans="2:16" ht="15" customHeight="1" x14ac:dyDescent="0.35">
      <c r="B62" s="7"/>
      <c r="C62" s="7"/>
      <c r="D62" s="7"/>
      <c r="E62" s="7"/>
      <c r="F62" s="7"/>
      <c r="G62" s="7"/>
      <c r="H62" s="7"/>
      <c r="I62" s="7"/>
      <c r="J62" s="7"/>
      <c r="K62" s="7"/>
      <c r="L62" s="7"/>
      <c r="M62" s="7"/>
      <c r="N62" s="7"/>
      <c r="O62" s="7"/>
      <c r="P62" s="7"/>
    </row>
    <row r="63" spans="2:16" ht="15" customHeight="1" x14ac:dyDescent="0.35">
      <c r="B63" s="7"/>
      <c r="C63" s="7"/>
      <c r="D63" s="7"/>
      <c r="E63" s="7"/>
      <c r="F63" s="7"/>
      <c r="G63" s="7"/>
      <c r="H63" s="7"/>
      <c r="I63" s="7"/>
      <c r="J63" s="7"/>
      <c r="K63" s="7"/>
      <c r="L63" s="7"/>
      <c r="M63" s="7"/>
      <c r="N63" s="7"/>
      <c r="O63" s="7"/>
      <c r="P63" s="7"/>
    </row>
    <row r="64" spans="2:16" ht="15" customHeight="1" x14ac:dyDescent="0.35">
      <c r="B64" s="7"/>
      <c r="C64" s="7"/>
      <c r="D64" s="7"/>
      <c r="E64" s="7"/>
      <c r="F64" s="7"/>
      <c r="G64" s="7"/>
      <c r="H64" s="7"/>
      <c r="I64" s="7"/>
      <c r="J64" s="7"/>
      <c r="K64" s="7"/>
      <c r="L64" s="7"/>
      <c r="M64" s="7"/>
      <c r="N64" s="7"/>
      <c r="O64" s="7"/>
      <c r="P64" s="7"/>
    </row>
    <row r="65" spans="2:16" ht="15" customHeight="1" x14ac:dyDescent="0.35">
      <c r="B65" s="7"/>
      <c r="C65" s="7"/>
      <c r="D65" s="7"/>
      <c r="E65" s="7"/>
      <c r="F65" s="7"/>
      <c r="G65" s="7"/>
      <c r="H65" s="7"/>
      <c r="I65" s="7"/>
      <c r="J65" s="7"/>
      <c r="K65" s="7"/>
      <c r="L65" s="7"/>
      <c r="M65" s="7"/>
      <c r="N65" s="7"/>
      <c r="O65" s="7"/>
      <c r="P65" s="7"/>
    </row>
    <row r="66" spans="2:16" ht="15" customHeight="1" x14ac:dyDescent="0.35">
      <c r="B66" s="7"/>
      <c r="C66" s="7"/>
      <c r="D66" s="7"/>
      <c r="E66" s="7"/>
      <c r="F66" s="7"/>
      <c r="G66" s="7"/>
      <c r="H66" s="7"/>
      <c r="I66" s="7"/>
      <c r="J66" s="7"/>
      <c r="K66" s="7"/>
      <c r="L66" s="7"/>
      <c r="M66" s="7"/>
      <c r="N66" s="7"/>
      <c r="O66" s="7"/>
      <c r="P66" s="7"/>
    </row>
    <row r="67" spans="2:16" ht="15" customHeight="1" x14ac:dyDescent="0.35">
      <c r="B67" s="7"/>
      <c r="C67" s="7"/>
      <c r="D67" s="7"/>
      <c r="E67" s="7"/>
      <c r="F67" s="7"/>
      <c r="G67" s="7"/>
      <c r="H67" s="7"/>
      <c r="I67" s="7"/>
      <c r="J67" s="7"/>
      <c r="K67" s="7"/>
      <c r="L67" s="7"/>
      <c r="M67" s="7"/>
      <c r="N67" s="7"/>
      <c r="O67" s="7"/>
      <c r="P67" s="7"/>
    </row>
    <row r="68" spans="2:16" ht="15" customHeight="1" x14ac:dyDescent="0.35">
      <c r="B68" s="7"/>
      <c r="C68" s="7"/>
      <c r="D68" s="7"/>
      <c r="E68" s="7"/>
      <c r="F68" s="7"/>
      <c r="G68" s="7"/>
      <c r="H68" s="7"/>
      <c r="I68" s="7"/>
      <c r="J68" s="7"/>
      <c r="K68" s="7"/>
      <c r="L68" s="7"/>
      <c r="M68" s="7"/>
      <c r="N68" s="7"/>
      <c r="O68" s="7"/>
      <c r="P68" s="7"/>
    </row>
    <row r="69" spans="2:16" ht="15" customHeight="1" x14ac:dyDescent="0.35">
      <c r="B69" s="7"/>
      <c r="C69" s="7"/>
      <c r="D69" s="7"/>
      <c r="E69" s="7"/>
      <c r="F69" s="7"/>
      <c r="G69" s="7"/>
      <c r="H69" s="7"/>
      <c r="I69" s="7"/>
      <c r="J69" s="7"/>
      <c r="K69" s="7"/>
      <c r="L69" s="7"/>
      <c r="M69" s="7"/>
      <c r="N69" s="7"/>
      <c r="O69" s="7"/>
      <c r="P69" s="7"/>
    </row>
    <row r="70" spans="2:16" ht="15" customHeight="1" x14ac:dyDescent="0.35">
      <c r="B70" s="7"/>
      <c r="C70" s="7"/>
      <c r="D70" s="7"/>
      <c r="E70" s="7"/>
      <c r="F70" s="7"/>
      <c r="G70" s="7"/>
      <c r="H70" s="7"/>
      <c r="I70" s="7"/>
      <c r="J70" s="7"/>
      <c r="K70" s="7"/>
      <c r="L70" s="7"/>
      <c r="M70" s="7"/>
      <c r="N70" s="7"/>
      <c r="O70" s="7"/>
      <c r="P70" s="7"/>
    </row>
    <row r="71" spans="2:16" ht="15" customHeight="1" x14ac:dyDescent="0.35">
      <c r="B71" s="7"/>
      <c r="C71" s="7"/>
      <c r="D71" s="7"/>
      <c r="E71" s="7"/>
      <c r="F71" s="7"/>
      <c r="G71" s="7"/>
      <c r="H71" s="7"/>
      <c r="I71" s="7"/>
      <c r="J71" s="7"/>
      <c r="K71" s="7"/>
      <c r="L71" s="7"/>
      <c r="M71" s="7"/>
      <c r="N71" s="7"/>
      <c r="O71" s="7"/>
      <c r="P71" s="7"/>
    </row>
    <row r="72" spans="2:16" ht="15" customHeight="1" x14ac:dyDescent="0.35">
      <c r="B72" s="7"/>
      <c r="C72" s="7"/>
      <c r="D72" s="7"/>
      <c r="E72" s="7"/>
      <c r="F72" s="7"/>
      <c r="G72" s="7"/>
      <c r="H72" s="7"/>
      <c r="I72" s="7"/>
      <c r="J72" s="7"/>
      <c r="K72" s="7"/>
      <c r="L72" s="7"/>
      <c r="M72" s="7"/>
      <c r="N72" s="7"/>
      <c r="O72" s="7"/>
      <c r="P72" s="7"/>
    </row>
    <row r="73" spans="2:16" ht="15" customHeight="1" x14ac:dyDescent="0.35">
      <c r="B73" s="7"/>
      <c r="C73" s="7"/>
      <c r="D73" s="7"/>
      <c r="E73" s="7"/>
      <c r="F73" s="7"/>
      <c r="G73" s="7"/>
      <c r="H73" s="7"/>
      <c r="I73" s="7"/>
      <c r="J73" s="7"/>
      <c r="K73" s="7"/>
      <c r="L73" s="7"/>
      <c r="M73" s="7"/>
      <c r="N73" s="7"/>
      <c r="O73" s="7"/>
      <c r="P73" s="7"/>
    </row>
    <row r="74" spans="2:16" ht="15" customHeight="1" x14ac:dyDescent="0.35">
      <c r="B74" s="7"/>
      <c r="C74" s="7"/>
      <c r="D74" s="7"/>
      <c r="E74" s="7"/>
      <c r="F74" s="7"/>
      <c r="G74" s="7"/>
      <c r="H74" s="7"/>
      <c r="I74" s="7"/>
      <c r="J74" s="7"/>
      <c r="K74" s="7"/>
      <c r="L74" s="7"/>
      <c r="M74" s="7"/>
      <c r="N74" s="7"/>
      <c r="O74" s="7"/>
      <c r="P74" s="7"/>
    </row>
    <row r="75" spans="2:16" ht="15" customHeight="1" x14ac:dyDescent="0.35">
      <c r="B75" s="7"/>
      <c r="C75" s="7"/>
      <c r="D75" s="7"/>
      <c r="E75" s="7"/>
      <c r="F75" s="7"/>
      <c r="G75" s="7"/>
      <c r="H75" s="7"/>
      <c r="I75" s="7"/>
      <c r="J75" s="7"/>
      <c r="K75" s="7"/>
      <c r="L75" s="7"/>
      <c r="M75" s="7"/>
      <c r="N75" s="7"/>
      <c r="O75" s="7"/>
      <c r="P75" s="7"/>
    </row>
    <row r="76" spans="2:16" ht="15" customHeight="1" x14ac:dyDescent="0.35">
      <c r="B76" s="7"/>
      <c r="C76" s="7"/>
      <c r="D76" s="7"/>
      <c r="E76" s="7"/>
      <c r="F76" s="7"/>
      <c r="G76" s="7"/>
      <c r="H76" s="7"/>
      <c r="I76" s="7"/>
      <c r="J76" s="7"/>
      <c r="K76" s="7"/>
      <c r="L76" s="7"/>
      <c r="M76" s="7"/>
      <c r="N76" s="7"/>
      <c r="O76" s="7"/>
      <c r="P76" s="7"/>
    </row>
    <row r="77" spans="2:16" ht="15" customHeight="1" x14ac:dyDescent="0.35">
      <c r="B77" s="7"/>
      <c r="C77" s="7"/>
      <c r="D77" s="7"/>
      <c r="E77" s="7"/>
      <c r="F77" s="7"/>
      <c r="G77" s="7"/>
      <c r="H77" s="7"/>
      <c r="I77" s="7"/>
      <c r="J77" s="7"/>
      <c r="K77" s="7"/>
      <c r="L77" s="7"/>
      <c r="M77" s="7"/>
      <c r="N77" s="7"/>
      <c r="O77" s="7"/>
      <c r="P77" s="7"/>
    </row>
    <row r="78" spans="2:16" ht="15" customHeight="1" x14ac:dyDescent="0.35">
      <c r="B78" s="7"/>
      <c r="C78" s="7"/>
      <c r="D78" s="7"/>
      <c r="E78" s="7"/>
      <c r="F78" s="7"/>
      <c r="G78" s="7"/>
      <c r="H78" s="7"/>
      <c r="I78" s="7"/>
      <c r="J78" s="7"/>
      <c r="K78" s="7"/>
      <c r="L78" s="7"/>
      <c r="M78" s="7"/>
      <c r="N78" s="7"/>
      <c r="O78" s="7"/>
      <c r="P78" s="7"/>
    </row>
    <row r="79" spans="2:16" ht="15" customHeight="1" x14ac:dyDescent="0.35">
      <c r="B79" s="7"/>
      <c r="C79" s="7"/>
      <c r="D79" s="7"/>
      <c r="E79" s="7"/>
      <c r="F79" s="7"/>
      <c r="G79" s="7"/>
      <c r="H79" s="7"/>
      <c r="I79" s="7"/>
      <c r="J79" s="7"/>
      <c r="K79" s="7"/>
      <c r="L79" s="7"/>
      <c r="M79" s="7"/>
      <c r="N79" s="7"/>
      <c r="O79" s="7"/>
      <c r="P79" s="7"/>
    </row>
    <row r="80" spans="2:16" ht="15" customHeight="1" x14ac:dyDescent="0.35">
      <c r="B80" s="7"/>
      <c r="C80" s="7"/>
      <c r="D80" s="7"/>
      <c r="E80" s="7"/>
      <c r="F80" s="7"/>
      <c r="G80" s="7"/>
      <c r="H80" s="7"/>
      <c r="I80" s="7"/>
      <c r="J80" s="7"/>
      <c r="K80" s="7"/>
      <c r="L80" s="7"/>
      <c r="M80" s="7"/>
      <c r="N80" s="7"/>
      <c r="O80" s="7"/>
      <c r="P80" s="7"/>
    </row>
    <row r="81" spans="2:16" ht="15" customHeight="1" x14ac:dyDescent="0.35">
      <c r="B81" s="7"/>
      <c r="C81" s="7"/>
      <c r="D81" s="7"/>
      <c r="E81" s="7"/>
      <c r="F81" s="7"/>
      <c r="G81" s="7"/>
      <c r="H81" s="7"/>
      <c r="I81" s="7"/>
      <c r="J81" s="7"/>
      <c r="K81" s="7"/>
      <c r="L81" s="7"/>
      <c r="M81" s="7"/>
      <c r="N81" s="7"/>
      <c r="O81" s="7"/>
      <c r="P81" s="7"/>
    </row>
    <row r="82" spans="2:16" ht="15" customHeight="1" x14ac:dyDescent="0.35">
      <c r="B82" s="7"/>
      <c r="C82" s="7"/>
      <c r="D82" s="7"/>
      <c r="E82" s="7"/>
      <c r="F82" s="7"/>
      <c r="G82" s="7"/>
      <c r="H82" s="7"/>
      <c r="I82" s="7"/>
      <c r="J82" s="7"/>
      <c r="K82" s="7"/>
      <c r="L82" s="7"/>
      <c r="M82" s="7"/>
      <c r="N82" s="7"/>
      <c r="O82" s="7"/>
      <c r="P82" s="7"/>
    </row>
    <row r="83" spans="2:16" ht="15" customHeight="1" x14ac:dyDescent="0.35">
      <c r="B83" s="7"/>
      <c r="C83" s="7"/>
      <c r="D83" s="7"/>
      <c r="E83" s="7"/>
      <c r="F83" s="7"/>
      <c r="G83" s="7"/>
      <c r="H83" s="7"/>
      <c r="I83" s="7"/>
      <c r="J83" s="7"/>
      <c r="K83" s="7"/>
      <c r="L83" s="7"/>
      <c r="M83" s="7"/>
      <c r="N83" s="7"/>
      <c r="O83" s="7"/>
      <c r="P83" s="7"/>
    </row>
    <row r="84" spans="2:16" ht="15" customHeight="1" x14ac:dyDescent="0.35">
      <c r="B84" s="7"/>
      <c r="C84" s="7"/>
      <c r="D84" s="7"/>
      <c r="E84" s="7"/>
      <c r="F84" s="7"/>
      <c r="G84" s="7"/>
      <c r="H84" s="7"/>
      <c r="I84" s="7"/>
      <c r="J84" s="7"/>
      <c r="K84" s="7"/>
      <c r="L84" s="7"/>
      <c r="M84" s="7"/>
      <c r="N84" s="7"/>
      <c r="O84" s="7"/>
      <c r="P84" s="7"/>
    </row>
    <row r="85" spans="2:16" ht="15" customHeight="1" x14ac:dyDescent="0.35">
      <c r="B85" s="7"/>
      <c r="C85" s="7"/>
      <c r="D85" s="7"/>
      <c r="E85" s="7"/>
      <c r="F85" s="7"/>
      <c r="G85" s="7"/>
      <c r="H85" s="7"/>
      <c r="I85" s="7"/>
      <c r="J85" s="7"/>
      <c r="K85" s="7"/>
      <c r="L85" s="7"/>
      <c r="M85" s="7"/>
      <c r="N85" s="7"/>
      <c r="O85" s="7"/>
      <c r="P85" s="7"/>
    </row>
    <row r="86" spans="2:16" ht="15" customHeight="1" x14ac:dyDescent="0.35">
      <c r="B86" s="7"/>
      <c r="C86" s="7"/>
      <c r="D86" s="7"/>
      <c r="E86" s="7"/>
      <c r="F86" s="7"/>
      <c r="G86" s="7"/>
      <c r="H86" s="7"/>
      <c r="I86" s="7"/>
      <c r="J86" s="7"/>
      <c r="K86" s="7"/>
      <c r="L86" s="7"/>
      <c r="M86" s="7"/>
      <c r="N86" s="7"/>
      <c r="O86" s="7"/>
      <c r="P86" s="7"/>
    </row>
    <row r="87" spans="2:16" ht="15" customHeight="1" x14ac:dyDescent="0.35">
      <c r="B87" s="7"/>
      <c r="C87" s="7"/>
      <c r="D87" s="7"/>
      <c r="E87" s="7"/>
      <c r="F87" s="7"/>
      <c r="G87" s="7"/>
      <c r="H87" s="7"/>
      <c r="I87" s="7"/>
      <c r="J87" s="7"/>
      <c r="K87" s="7"/>
      <c r="L87" s="7"/>
      <c r="M87" s="7"/>
      <c r="N87" s="7"/>
      <c r="O87" s="7"/>
      <c r="P87" s="7"/>
    </row>
    <row r="88" spans="2:16" ht="15" customHeight="1" x14ac:dyDescent="0.35">
      <c r="B88" s="7"/>
      <c r="C88" s="7"/>
      <c r="D88" s="7"/>
      <c r="E88" s="7"/>
      <c r="F88" s="7"/>
      <c r="G88" s="7"/>
      <c r="H88" s="7"/>
      <c r="I88" s="7"/>
      <c r="J88" s="7"/>
      <c r="K88" s="7"/>
      <c r="L88" s="7"/>
      <c r="M88" s="7"/>
      <c r="N88" s="7"/>
      <c r="O88" s="7"/>
      <c r="P88" s="7"/>
    </row>
    <row r="89" spans="2:16" ht="15" customHeight="1" x14ac:dyDescent="0.35">
      <c r="B89" s="7"/>
      <c r="C89" s="7"/>
      <c r="D89" s="7"/>
      <c r="E89" s="7"/>
      <c r="F89" s="7"/>
      <c r="G89" s="7"/>
      <c r="H89" s="7"/>
      <c r="I89" s="7"/>
      <c r="J89" s="7"/>
      <c r="K89" s="7"/>
      <c r="L89" s="7"/>
      <c r="M89" s="7"/>
      <c r="N89" s="7"/>
      <c r="O89" s="7"/>
      <c r="P89" s="7"/>
    </row>
    <row r="90" spans="2:16" ht="15" customHeight="1" x14ac:dyDescent="0.35">
      <c r="B90" s="7"/>
      <c r="C90" s="7"/>
      <c r="D90" s="7"/>
      <c r="E90" s="7"/>
      <c r="F90" s="7"/>
      <c r="G90" s="7"/>
      <c r="H90" s="7"/>
      <c r="I90" s="7"/>
      <c r="J90" s="7"/>
      <c r="K90" s="7"/>
      <c r="L90" s="7"/>
      <c r="M90" s="7"/>
      <c r="N90" s="7"/>
      <c r="O90" s="7"/>
      <c r="P90" s="7"/>
    </row>
    <row r="91" spans="2:16" ht="15" customHeight="1" x14ac:dyDescent="0.35">
      <c r="B91" s="7"/>
      <c r="C91" s="7"/>
      <c r="D91" s="7"/>
      <c r="E91" s="7"/>
      <c r="F91" s="7"/>
      <c r="G91" s="7"/>
      <c r="H91" s="7"/>
      <c r="I91" s="7"/>
      <c r="J91" s="7"/>
      <c r="K91" s="7"/>
      <c r="L91" s="7"/>
      <c r="M91" s="7"/>
      <c r="N91" s="7"/>
      <c r="O91" s="7"/>
      <c r="P91" s="7"/>
    </row>
    <row r="92" spans="2:16" ht="15" customHeight="1" x14ac:dyDescent="0.35">
      <c r="B92" s="7"/>
      <c r="C92" s="7"/>
      <c r="D92" s="7"/>
      <c r="E92" s="7"/>
      <c r="F92" s="7"/>
      <c r="G92" s="7"/>
      <c r="H92" s="7"/>
      <c r="I92" s="7"/>
      <c r="J92" s="7"/>
      <c r="K92" s="7"/>
      <c r="L92" s="7"/>
      <c r="M92" s="7"/>
      <c r="N92" s="7"/>
      <c r="O92" s="7"/>
      <c r="P92" s="7"/>
    </row>
    <row r="93" spans="2:16" ht="15" customHeight="1" x14ac:dyDescent="0.35">
      <c r="B93" s="7"/>
      <c r="C93" s="7"/>
      <c r="D93" s="7"/>
      <c r="E93" s="7"/>
      <c r="F93" s="7"/>
      <c r="G93" s="7"/>
      <c r="H93" s="7"/>
      <c r="I93" s="7"/>
      <c r="J93" s="7"/>
      <c r="K93" s="7"/>
      <c r="L93" s="7"/>
      <c r="M93" s="7"/>
      <c r="N93" s="7"/>
      <c r="O93" s="7"/>
      <c r="P93" s="7"/>
    </row>
    <row r="94" spans="2:16" ht="15" customHeight="1" x14ac:dyDescent="0.35">
      <c r="B94" s="7"/>
      <c r="C94" s="7"/>
      <c r="D94" s="7"/>
      <c r="E94" s="7"/>
      <c r="F94" s="7"/>
      <c r="G94" s="7"/>
      <c r="H94" s="7"/>
      <c r="I94" s="7"/>
      <c r="J94" s="7"/>
      <c r="K94" s="7"/>
      <c r="L94" s="7"/>
      <c r="M94" s="7"/>
      <c r="N94" s="7"/>
      <c r="O94" s="7"/>
      <c r="P94" s="7"/>
    </row>
    <row r="95" spans="2:16" ht="15" customHeight="1" x14ac:dyDescent="0.35">
      <c r="B95" s="7"/>
      <c r="C95" s="7"/>
      <c r="D95" s="7"/>
      <c r="E95" s="7"/>
      <c r="F95" s="7"/>
      <c r="G95" s="7"/>
      <c r="H95" s="7"/>
      <c r="I95" s="7"/>
      <c r="J95" s="7"/>
      <c r="K95" s="7"/>
      <c r="L95" s="7"/>
      <c r="M95" s="7"/>
      <c r="N95" s="7"/>
      <c r="O95" s="7"/>
      <c r="P95" s="7"/>
    </row>
    <row r="96" spans="2:16" ht="15" customHeight="1" x14ac:dyDescent="0.35">
      <c r="B96" s="7"/>
      <c r="C96" s="7"/>
      <c r="D96" s="7"/>
      <c r="E96" s="7"/>
      <c r="F96" s="7"/>
      <c r="G96" s="7"/>
      <c r="H96" s="7"/>
      <c r="I96" s="7"/>
      <c r="J96" s="7"/>
      <c r="K96" s="7"/>
      <c r="L96" s="7"/>
      <c r="M96" s="7"/>
      <c r="N96" s="7"/>
      <c r="O96" s="7"/>
      <c r="P96" s="7"/>
    </row>
    <row r="97" spans="2:16" ht="15" customHeight="1" x14ac:dyDescent="0.35">
      <c r="B97" s="7"/>
      <c r="C97" s="7"/>
      <c r="D97" s="7"/>
      <c r="E97" s="7"/>
      <c r="F97" s="7"/>
      <c r="G97" s="7"/>
      <c r="H97" s="7"/>
      <c r="I97" s="7"/>
      <c r="J97" s="7"/>
      <c r="K97" s="7"/>
      <c r="L97" s="7"/>
      <c r="M97" s="7"/>
      <c r="N97" s="7"/>
      <c r="O97" s="7"/>
      <c r="P97" s="7"/>
    </row>
    <row r="98" spans="2:16" ht="15" customHeight="1" x14ac:dyDescent="0.35">
      <c r="B98" s="7"/>
      <c r="C98" s="7"/>
      <c r="D98" s="7"/>
      <c r="E98" s="7"/>
      <c r="F98" s="7"/>
      <c r="G98" s="7"/>
      <c r="H98" s="7"/>
      <c r="I98" s="7"/>
      <c r="J98" s="7"/>
      <c r="K98" s="7"/>
      <c r="L98" s="7"/>
      <c r="M98" s="7"/>
      <c r="N98" s="7"/>
      <c r="O98" s="7"/>
      <c r="P98" s="7"/>
    </row>
    <row r="99" spans="2:16" ht="15" customHeight="1" x14ac:dyDescent="0.35">
      <c r="B99" s="7"/>
      <c r="C99" s="7"/>
      <c r="D99" s="7"/>
      <c r="E99" s="7"/>
      <c r="F99" s="7"/>
      <c r="G99" s="7"/>
      <c r="H99" s="7"/>
      <c r="I99" s="7"/>
      <c r="J99" s="7"/>
      <c r="K99" s="7"/>
      <c r="L99" s="7"/>
      <c r="M99" s="7"/>
      <c r="N99" s="7"/>
      <c r="O99" s="7"/>
      <c r="P99" s="7"/>
    </row>
    <row r="100" spans="2:16" ht="15" customHeight="1" x14ac:dyDescent="0.35">
      <c r="B100" s="7"/>
      <c r="C100" s="7"/>
      <c r="D100" s="7"/>
      <c r="E100" s="7"/>
      <c r="F100" s="7"/>
      <c r="G100" s="7"/>
      <c r="H100" s="3"/>
      <c r="I100" s="3"/>
      <c r="J100" s="3"/>
      <c r="K100" s="3"/>
      <c r="L100" s="3"/>
      <c r="M100" s="3"/>
      <c r="N100" s="3"/>
      <c r="O100" s="3"/>
      <c r="P100" s="3"/>
    </row>
    <row r="101" spans="2:16" ht="15.75" customHeight="1" x14ac:dyDescent="0.35">
      <c r="B101" s="74" t="s">
        <v>557</v>
      </c>
      <c r="C101" s="74"/>
      <c r="D101" s="74"/>
      <c r="E101" s="74"/>
      <c r="F101" s="74"/>
      <c r="G101" s="74"/>
      <c r="H101" s="3"/>
      <c r="I101" s="3"/>
      <c r="J101" s="3"/>
      <c r="K101" s="3"/>
      <c r="L101" s="3"/>
      <c r="M101" s="3"/>
      <c r="N101" s="3"/>
      <c r="O101" s="3"/>
      <c r="P101" s="3"/>
    </row>
    <row r="102" spans="2:16" ht="15" customHeight="1" x14ac:dyDescent="0.35">
      <c r="B102" s="144" t="s">
        <v>558</v>
      </c>
      <c r="C102" s="144" t="s">
        <v>559</v>
      </c>
      <c r="D102" s="144" t="s">
        <v>560</v>
      </c>
      <c r="E102" s="7"/>
      <c r="F102" s="7"/>
      <c r="G102" s="7"/>
      <c r="H102" s="3"/>
      <c r="I102" s="3"/>
      <c r="J102" s="3"/>
      <c r="K102" s="3"/>
      <c r="L102" s="3"/>
      <c r="M102" s="3"/>
      <c r="N102" s="3"/>
      <c r="O102" s="3"/>
      <c r="P102" s="3"/>
    </row>
    <row r="103" spans="2:16" ht="15" customHeight="1" x14ac:dyDescent="0.35">
      <c r="B103" s="145" t="str">
        <f>"W"&amp;'13W Cash Flow'!D$6</f>
        <v>W1</v>
      </c>
      <c r="C103" s="146">
        <f>'13W Cash Flow'!D$40</f>
        <v>229516.48595999999</v>
      </c>
      <c r="D103" s="146">
        <f>'13W Cash Flow'!D$41</f>
        <v>120000</v>
      </c>
      <c r="E103" s="7"/>
      <c r="F103" s="7"/>
      <c r="G103" s="7"/>
      <c r="H103" s="3"/>
      <c r="I103" s="3"/>
      <c r="J103" s="3"/>
      <c r="K103" s="3"/>
      <c r="L103" s="3"/>
      <c r="M103" s="3"/>
      <c r="N103" s="3"/>
      <c r="O103" s="3"/>
      <c r="P103" s="3"/>
    </row>
    <row r="104" spans="2:16" ht="15" customHeight="1" x14ac:dyDescent="0.35">
      <c r="B104" s="145" t="str">
        <f>"W"&amp;'13W Cash Flow'!E$6</f>
        <v>W2</v>
      </c>
      <c r="C104" s="146">
        <f>'13W Cash Flow'!E$40</f>
        <v>210506.60658399999</v>
      </c>
      <c r="D104" s="146">
        <f>'13W Cash Flow'!E$41</f>
        <v>120000</v>
      </c>
      <c r="E104" s="7"/>
      <c r="F104" s="7"/>
      <c r="G104" s="7"/>
      <c r="H104" s="3"/>
      <c r="I104" s="3"/>
      <c r="J104" s="3"/>
      <c r="K104" s="3"/>
      <c r="L104" s="3"/>
      <c r="M104" s="3"/>
      <c r="N104" s="3"/>
      <c r="O104" s="3"/>
      <c r="P104" s="3"/>
    </row>
    <row r="105" spans="2:16" ht="15" customHeight="1" x14ac:dyDescent="0.35">
      <c r="B105" s="145" t="str">
        <f>"W"&amp;'13W Cash Flow'!F$6</f>
        <v>W3</v>
      </c>
      <c r="C105" s="146">
        <f>'13W Cash Flow'!F$40</f>
        <v>237278.14225999999</v>
      </c>
      <c r="D105" s="146">
        <f>'13W Cash Flow'!F$41</f>
        <v>120000</v>
      </c>
      <c r="E105" s="7"/>
      <c r="F105" s="7"/>
      <c r="G105" s="7"/>
      <c r="H105" s="3"/>
      <c r="I105" s="3"/>
      <c r="J105" s="3"/>
      <c r="K105" s="3"/>
      <c r="L105" s="3"/>
      <c r="M105" s="3"/>
      <c r="N105" s="3"/>
      <c r="O105" s="3"/>
      <c r="P105" s="3"/>
    </row>
    <row r="106" spans="2:16" ht="15" customHeight="1" x14ac:dyDescent="0.35">
      <c r="B106" s="145" t="str">
        <f>"W"&amp;'13W Cash Flow'!G$6</f>
        <v>W4</v>
      </c>
      <c r="C106" s="146">
        <f>'13W Cash Flow'!G$40</f>
        <v>265003.41797999997</v>
      </c>
      <c r="D106" s="146">
        <f>'13W Cash Flow'!G$41</f>
        <v>120000</v>
      </c>
      <c r="E106" s="7"/>
      <c r="F106" s="7"/>
      <c r="G106" s="7"/>
      <c r="H106" s="3"/>
      <c r="I106" s="3"/>
      <c r="J106" s="3"/>
      <c r="K106" s="3"/>
      <c r="L106" s="3"/>
      <c r="M106" s="3"/>
      <c r="N106" s="3"/>
      <c r="O106" s="3"/>
      <c r="P106" s="3"/>
    </row>
    <row r="107" spans="2:16" ht="15" customHeight="1" x14ac:dyDescent="0.35">
      <c r="B107" s="145" t="str">
        <f>"W"&amp;'13W Cash Flow'!H$6</f>
        <v>W5</v>
      </c>
      <c r="C107" s="146">
        <f>'13W Cash Flow'!H$40</f>
        <v>173817.28978399996</v>
      </c>
      <c r="D107" s="146">
        <f>'13W Cash Flow'!H$41</f>
        <v>120000</v>
      </c>
      <c r="E107" s="7"/>
      <c r="F107" s="7"/>
      <c r="G107" s="7"/>
      <c r="H107" s="3"/>
      <c r="I107" s="3"/>
      <c r="J107" s="3"/>
      <c r="K107" s="3"/>
      <c r="L107" s="3"/>
      <c r="M107" s="3"/>
      <c r="N107" s="3"/>
      <c r="O107" s="3"/>
      <c r="P107" s="3"/>
    </row>
    <row r="108" spans="2:16" ht="15" customHeight="1" x14ac:dyDescent="0.35">
      <c r="B108" s="145" t="str">
        <f>"W"&amp;'13W Cash Flow'!I$6</f>
        <v>W6</v>
      </c>
      <c r="C108" s="146">
        <f>'13W Cash Flow'!I$40</f>
        <v>196072.19999999995</v>
      </c>
      <c r="D108" s="146">
        <f>'13W Cash Flow'!I$41</f>
        <v>120000</v>
      </c>
      <c r="E108" s="7"/>
      <c r="F108" s="7"/>
      <c r="G108" s="7"/>
      <c r="H108" s="3"/>
      <c r="I108" s="3"/>
      <c r="J108" s="3"/>
      <c r="K108" s="3"/>
      <c r="L108" s="3"/>
      <c r="M108" s="3"/>
      <c r="N108" s="3"/>
      <c r="O108" s="3"/>
      <c r="P108" s="3"/>
    </row>
    <row r="109" spans="2:16" ht="15" customHeight="1" x14ac:dyDescent="0.35">
      <c r="B109" s="145" t="str">
        <f>"W"&amp;'13W Cash Flow'!J$6</f>
        <v>W7</v>
      </c>
      <c r="C109" s="146">
        <f>'13W Cash Flow'!J$40</f>
        <v>232293.09139999998</v>
      </c>
      <c r="D109" s="146">
        <f>'13W Cash Flow'!J$41</f>
        <v>120000</v>
      </c>
      <c r="E109" s="7"/>
      <c r="F109" s="7"/>
      <c r="G109" s="7"/>
      <c r="H109" s="3"/>
      <c r="I109" s="3"/>
      <c r="J109" s="3"/>
      <c r="K109" s="3"/>
      <c r="L109" s="3"/>
      <c r="M109" s="3"/>
      <c r="N109" s="3"/>
      <c r="O109" s="3"/>
      <c r="P109" s="3"/>
    </row>
    <row r="110" spans="2:16" ht="15" customHeight="1" x14ac:dyDescent="0.35">
      <c r="B110" s="145" t="str">
        <f>"W"&amp;'13W Cash Flow'!K$6</f>
        <v>W8</v>
      </c>
      <c r="C110" s="146">
        <f>'13W Cash Flow'!K$40</f>
        <v>180344.89755599998</v>
      </c>
      <c r="D110" s="146">
        <f>'13W Cash Flow'!K$41</f>
        <v>120000</v>
      </c>
      <c r="E110" s="7"/>
      <c r="F110" s="7"/>
      <c r="G110" s="7"/>
      <c r="H110" s="3"/>
      <c r="I110" s="3"/>
      <c r="J110" s="3"/>
      <c r="K110" s="3"/>
      <c r="L110" s="3"/>
      <c r="M110" s="3"/>
      <c r="N110" s="3"/>
      <c r="O110" s="3"/>
      <c r="P110" s="3"/>
    </row>
    <row r="111" spans="2:16" ht="15" customHeight="1" x14ac:dyDescent="0.35">
      <c r="B111" s="145" t="str">
        <f>"W"&amp;'13W Cash Flow'!L$6</f>
        <v>W9</v>
      </c>
      <c r="C111" s="146">
        <f>'13W Cash Flow'!L$40</f>
        <v>114528.43459999998</v>
      </c>
      <c r="D111" s="146">
        <f>'13W Cash Flow'!L$41</f>
        <v>120000</v>
      </c>
      <c r="E111" s="7"/>
      <c r="F111" s="7"/>
      <c r="G111" s="7"/>
      <c r="H111" s="3"/>
      <c r="I111" s="3"/>
      <c r="J111" s="3"/>
      <c r="K111" s="3"/>
      <c r="L111" s="3"/>
      <c r="M111" s="3"/>
      <c r="N111" s="3"/>
      <c r="O111" s="3"/>
      <c r="P111" s="3"/>
    </row>
    <row r="112" spans="2:16" ht="15" customHeight="1" x14ac:dyDescent="0.35">
      <c r="B112" s="145" t="str">
        <f>"W"&amp;'13W Cash Flow'!M$6</f>
        <v>W10</v>
      </c>
      <c r="C112" s="146">
        <f>'13W Cash Flow'!M$40</f>
        <v>134028.49608399998</v>
      </c>
      <c r="D112" s="146">
        <f>'13W Cash Flow'!M$41</f>
        <v>120000</v>
      </c>
      <c r="E112" s="7"/>
      <c r="F112" s="7"/>
      <c r="G112" s="7"/>
      <c r="H112" s="3"/>
      <c r="I112" s="3"/>
      <c r="J112" s="3"/>
      <c r="K112" s="3"/>
      <c r="L112" s="3"/>
      <c r="M112" s="3"/>
      <c r="N112" s="3"/>
      <c r="O112" s="3"/>
      <c r="P112" s="3"/>
    </row>
    <row r="113" spans="2:16" ht="15" customHeight="1" x14ac:dyDescent="0.35">
      <c r="B113" s="145" t="str">
        <f>"W"&amp;'13W Cash Flow'!N$6</f>
        <v>W11</v>
      </c>
      <c r="C113" s="146">
        <f>'13W Cash Flow'!N$40</f>
        <v>129334.05525199998</v>
      </c>
      <c r="D113" s="146">
        <f>'13W Cash Flow'!N$41</f>
        <v>120000</v>
      </c>
      <c r="E113" s="7"/>
      <c r="F113" s="7"/>
      <c r="G113" s="7"/>
      <c r="H113" s="3"/>
      <c r="I113" s="3"/>
      <c r="J113" s="3"/>
      <c r="K113" s="3"/>
      <c r="L113" s="3"/>
      <c r="M113" s="3"/>
      <c r="N113" s="3"/>
      <c r="O113" s="3"/>
      <c r="P113" s="3"/>
    </row>
    <row r="114" spans="2:16" ht="15" customHeight="1" x14ac:dyDescent="0.35">
      <c r="B114" s="145" t="str">
        <f>"W"&amp;'13W Cash Flow'!O$6</f>
        <v>W12</v>
      </c>
      <c r="C114" s="146">
        <f>'13W Cash Flow'!O$40</f>
        <v>160084.20993199997</v>
      </c>
      <c r="D114" s="146">
        <f>'13W Cash Flow'!O$41</f>
        <v>120000</v>
      </c>
      <c r="E114" s="7"/>
      <c r="F114" s="7"/>
      <c r="G114" s="7"/>
      <c r="H114" s="3"/>
      <c r="I114" s="3"/>
      <c r="J114" s="3"/>
      <c r="K114" s="3"/>
      <c r="L114" s="3"/>
      <c r="M114" s="3"/>
      <c r="N114" s="3"/>
      <c r="O114" s="3"/>
      <c r="P114" s="3"/>
    </row>
    <row r="115" spans="2:16" ht="15" customHeight="1" x14ac:dyDescent="0.35">
      <c r="B115" s="145" t="str">
        <f>"W"&amp;'13W Cash Flow'!P$6</f>
        <v>W13</v>
      </c>
      <c r="C115" s="146">
        <f>'13W Cash Flow'!P$40</f>
        <v>139650.21652399999</v>
      </c>
      <c r="D115" s="146">
        <f>'13W Cash Flow'!P$41</f>
        <v>120000</v>
      </c>
      <c r="E115" s="7"/>
      <c r="F115" s="7"/>
      <c r="G115" s="7"/>
      <c r="H115" s="3"/>
      <c r="I115" s="3"/>
      <c r="J115" s="3"/>
      <c r="K115" s="3"/>
      <c r="L115" s="3"/>
      <c r="M115" s="3"/>
      <c r="N115" s="3"/>
      <c r="O115" s="3"/>
      <c r="P115" s="3"/>
    </row>
    <row r="116" spans="2:16" ht="15" customHeight="1" x14ac:dyDescent="0.35">
      <c r="B116" s="7"/>
      <c r="C116" s="7"/>
      <c r="D116" s="7"/>
      <c r="E116" s="7"/>
      <c r="F116" s="7"/>
      <c r="G116" s="7"/>
      <c r="H116" s="3"/>
      <c r="I116" s="3"/>
      <c r="J116" s="3"/>
      <c r="K116" s="3"/>
      <c r="L116" s="3"/>
      <c r="M116" s="3"/>
      <c r="N116" s="3"/>
      <c r="O116" s="3"/>
      <c r="P116" s="3"/>
    </row>
    <row r="117" spans="2:16" ht="15" customHeight="1" x14ac:dyDescent="0.35">
      <c r="B117" s="144" t="s">
        <v>178</v>
      </c>
      <c r="C117" s="144" t="s">
        <v>561</v>
      </c>
      <c r="D117" s="144" t="s">
        <v>562</v>
      </c>
      <c r="E117" s="144"/>
      <c r="F117" s="7"/>
      <c r="G117" s="7"/>
      <c r="H117" s="3"/>
      <c r="I117" s="3"/>
      <c r="J117" s="3"/>
      <c r="K117" s="3"/>
      <c r="L117" s="3"/>
      <c r="M117" s="3"/>
      <c r="N117" s="3"/>
      <c r="O117" s="3"/>
      <c r="P117" s="3"/>
    </row>
    <row r="118" spans="2:16" ht="15" customHeight="1" x14ac:dyDescent="0.35">
      <c r="B118" s="145" t="str">
        <f>'Channel Profitability'!$D$5</f>
        <v>Physical Store</v>
      </c>
      <c r="C118" s="146">
        <f>'Channel Profitability'!$D$58</f>
        <v>43345.279999999992</v>
      </c>
      <c r="D118" s="146">
        <f>'Channel Profitability'!$D$60</f>
        <v>-1104.7200000000059</v>
      </c>
      <c r="E118" s="146"/>
      <c r="F118" s="7"/>
      <c r="G118" s="7"/>
      <c r="H118" s="3"/>
      <c r="I118" s="3"/>
      <c r="J118" s="3"/>
      <c r="K118" s="3"/>
      <c r="L118" s="3"/>
      <c r="M118" s="3"/>
      <c r="N118" s="3"/>
      <c r="O118" s="3"/>
      <c r="P118" s="3"/>
    </row>
    <row r="119" spans="2:16" ht="15" customHeight="1" x14ac:dyDescent="0.35">
      <c r="B119" s="145" t="str">
        <f>'Channel Profitability'!$E$5</f>
        <v>E-commerce</v>
      </c>
      <c r="C119" s="146">
        <f>'Channel Profitability'!$E$58</f>
        <v>34777.599999999999</v>
      </c>
      <c r="D119" s="146">
        <f>'Channel Profitability'!$E$60</f>
        <v>28477.600000000002</v>
      </c>
      <c r="E119" s="146"/>
      <c r="F119" s="7"/>
      <c r="G119" s="7"/>
      <c r="H119" s="3"/>
      <c r="I119" s="3"/>
      <c r="J119" s="3"/>
      <c r="K119" s="3"/>
      <c r="L119" s="3"/>
      <c r="M119" s="3"/>
      <c r="N119" s="3"/>
      <c r="O119" s="3"/>
      <c r="P119" s="3"/>
    </row>
    <row r="120" spans="2:16" ht="15" customHeight="1" x14ac:dyDescent="0.35">
      <c r="B120" s="145" t="str">
        <f>'Channel Profitability'!$F$5</f>
        <v>Events / Pop-ups</v>
      </c>
      <c r="C120" s="146">
        <f>'Channel Profitability'!$F$58</f>
        <v>12833.1</v>
      </c>
      <c r="D120" s="146">
        <f>'Channel Profitability'!$F$60</f>
        <v>12833.1</v>
      </c>
      <c r="E120" s="146"/>
      <c r="F120" s="7"/>
      <c r="G120" s="7"/>
      <c r="H120" s="3"/>
      <c r="I120" s="3"/>
      <c r="J120" s="3"/>
      <c r="K120" s="3"/>
      <c r="L120" s="3"/>
      <c r="M120" s="3"/>
      <c r="N120" s="3"/>
      <c r="O120" s="3"/>
      <c r="P120" s="3"/>
    </row>
    <row r="121" spans="2:16" ht="15" customHeight="1" x14ac:dyDescent="0.35">
      <c r="B121" s="145" t="str">
        <f>'Channel Profitability'!$G$5</f>
        <v>Consignment</v>
      </c>
      <c r="C121" s="146">
        <f>'Channel Profitability'!$G$58</f>
        <v>9690</v>
      </c>
      <c r="D121" s="146">
        <f>'Channel Profitability'!$G$60</f>
        <v>9690</v>
      </c>
      <c r="E121" s="146"/>
      <c r="F121" s="7"/>
      <c r="G121" s="7"/>
      <c r="H121" s="3"/>
      <c r="I121" s="3"/>
      <c r="J121" s="3"/>
      <c r="K121" s="3"/>
      <c r="L121" s="3"/>
      <c r="M121" s="3"/>
      <c r="N121" s="3"/>
      <c r="O121" s="3"/>
      <c r="P121" s="3"/>
    </row>
    <row r="122" spans="2:16" ht="15" customHeight="1" x14ac:dyDescent="0.35">
      <c r="B122" s="7"/>
      <c r="C122" s="7"/>
      <c r="D122" s="7"/>
      <c r="E122" s="7"/>
      <c r="F122" s="7"/>
      <c r="G122" s="7"/>
      <c r="H122" s="3"/>
      <c r="I122" s="3"/>
      <c r="J122" s="3"/>
      <c r="K122" s="3"/>
      <c r="L122" s="3"/>
      <c r="M122" s="3"/>
      <c r="N122" s="3"/>
      <c r="O122" s="3"/>
      <c r="P122" s="3"/>
    </row>
    <row r="123" spans="2:16" ht="15" customHeight="1" x14ac:dyDescent="0.35">
      <c r="B123" s="144" t="s">
        <v>563</v>
      </c>
      <c r="C123" s="144" t="s">
        <v>475</v>
      </c>
      <c r="D123" s="7"/>
      <c r="E123" s="7"/>
      <c r="F123" s="7"/>
      <c r="G123" s="7"/>
      <c r="H123" s="3"/>
      <c r="I123" s="3"/>
      <c r="J123" s="3"/>
      <c r="K123" s="3"/>
      <c r="L123" s="3"/>
      <c r="M123" s="3"/>
      <c r="N123" s="3"/>
      <c r="O123" s="3"/>
      <c r="P123" s="3"/>
    </row>
    <row r="124" spans="2:16" ht="15" customHeight="1" x14ac:dyDescent="0.35">
      <c r="B124" s="147" t="s">
        <v>564</v>
      </c>
      <c r="C124" s="146">
        <f>'Store Break-Even'!$D$34</f>
        <v>82720</v>
      </c>
      <c r="D124" s="7"/>
      <c r="E124" s="7"/>
      <c r="F124" s="7"/>
      <c r="G124" s="7"/>
      <c r="H124" s="3"/>
      <c r="I124" s="3"/>
      <c r="J124" s="3"/>
      <c r="K124" s="3"/>
      <c r="L124" s="3"/>
      <c r="M124" s="3"/>
      <c r="N124" s="3"/>
      <c r="O124" s="3"/>
      <c r="P124" s="3"/>
    </row>
    <row r="125" spans="2:16" ht="15" customHeight="1" x14ac:dyDescent="0.35">
      <c r="B125" s="147" t="s">
        <v>565</v>
      </c>
      <c r="C125" s="146">
        <f>'Store Break-Even'!$D$32</f>
        <v>84828.244274809156</v>
      </c>
      <c r="D125" s="7"/>
      <c r="E125" s="7"/>
      <c r="F125" s="7"/>
      <c r="G125" s="7"/>
      <c r="H125" s="3"/>
      <c r="I125" s="3"/>
      <c r="J125" s="3"/>
      <c r="K125" s="3"/>
      <c r="L125" s="3"/>
      <c r="M125" s="3"/>
      <c r="N125" s="3"/>
      <c r="O125" s="3"/>
      <c r="P125" s="3"/>
    </row>
    <row r="126" spans="2:16" ht="15" customHeight="1" x14ac:dyDescent="0.35">
      <c r="B126" s="7"/>
      <c r="C126" s="7"/>
      <c r="D126" s="7"/>
      <c r="E126" s="7"/>
      <c r="F126" s="7"/>
      <c r="G126" s="7"/>
      <c r="H126" s="3"/>
      <c r="I126" s="3"/>
      <c r="J126" s="3"/>
      <c r="K126" s="3"/>
      <c r="L126" s="3"/>
      <c r="M126" s="3"/>
      <c r="N126" s="3"/>
      <c r="O126" s="3"/>
      <c r="P126" s="3"/>
    </row>
    <row r="127" spans="2:16" ht="15" customHeight="1" x14ac:dyDescent="0.35">
      <c r="B127" s="144" t="s">
        <v>566</v>
      </c>
      <c r="C127" s="144" t="s">
        <v>567</v>
      </c>
      <c r="D127" s="144" t="s">
        <v>568</v>
      </c>
      <c r="E127" s="7"/>
      <c r="F127" s="7"/>
      <c r="G127" s="7"/>
      <c r="H127" s="3"/>
      <c r="I127" s="3"/>
      <c r="J127" s="3"/>
      <c r="K127" s="3"/>
      <c r="L127" s="3"/>
      <c r="M127" s="3"/>
      <c r="N127" s="3"/>
      <c r="O127" s="3"/>
      <c r="P127" s="3"/>
    </row>
    <row r="128" spans="2:16" ht="15" customHeight="1" x14ac:dyDescent="0.35">
      <c r="B128" s="145" t="str">
        <f>Scenarios!$D$6</f>
        <v>1. Current Operations</v>
      </c>
      <c r="C128" s="146">
        <f>Scenarios!$D$63</f>
        <v>139650.21652399999</v>
      </c>
      <c r="D128" s="146">
        <f>Scenarios!$D$64</f>
        <v>114528.43459999999</v>
      </c>
      <c r="E128" s="7"/>
      <c r="F128" s="7"/>
      <c r="G128" s="7"/>
      <c r="H128" s="3"/>
      <c r="I128" s="3"/>
      <c r="J128" s="3"/>
      <c r="K128" s="3"/>
      <c r="L128" s="3"/>
      <c r="M128" s="3"/>
      <c r="N128" s="3"/>
      <c r="O128" s="3"/>
      <c r="P128" s="3"/>
    </row>
    <row r="129" spans="2:16" ht="15" customHeight="1" x14ac:dyDescent="0.35">
      <c r="B129" s="145" t="str">
        <f>Scenarios!$E$6</f>
        <v>2. Store Improvement</v>
      </c>
      <c r="C129" s="146">
        <f>Scenarios!$E$63</f>
        <v>163301.63986176002</v>
      </c>
      <c r="D129" s="146">
        <f>Scenarios!$E$64</f>
        <v>130288.22644900004</v>
      </c>
      <c r="E129" s="7"/>
      <c r="F129" s="7"/>
      <c r="G129" s="7"/>
      <c r="H129" s="3"/>
      <c r="I129" s="3"/>
      <c r="J129" s="3"/>
      <c r="K129" s="3"/>
      <c r="L129" s="3"/>
      <c r="M129" s="3"/>
      <c r="N129" s="3"/>
      <c r="O129" s="3"/>
      <c r="P129" s="3"/>
    </row>
    <row r="130" spans="2:16" ht="15" customHeight="1" x14ac:dyDescent="0.35">
      <c r="B130" s="145" t="str">
        <f>Scenarios!$F$6</f>
        <v>3. Store Exit / Channel Shift</v>
      </c>
      <c r="C130" s="146">
        <f>Scenarios!$F$63</f>
        <v>110579.35098454836</v>
      </c>
      <c r="D130" s="146">
        <f>Scenarios!$F$64</f>
        <v>79427.176976548362</v>
      </c>
      <c r="E130" s="7"/>
      <c r="F130" s="7"/>
      <c r="G130" s="7"/>
      <c r="H130" s="3"/>
      <c r="I130" s="3"/>
      <c r="J130" s="3"/>
      <c r="K130" s="3"/>
      <c r="L130" s="3"/>
      <c r="M130" s="3"/>
      <c r="N130" s="3"/>
      <c r="O130" s="3"/>
      <c r="P130" s="3"/>
    </row>
    <row r="131" spans="2:16" ht="15" customHeight="1" x14ac:dyDescent="0.35">
      <c r="B131" s="7"/>
      <c r="C131" s="7"/>
      <c r="D131" s="7"/>
      <c r="E131" s="7"/>
      <c r="F131" s="7"/>
      <c r="G131" s="7"/>
    </row>
  </sheetData>
  <mergeCells count="12">
    <mergeCell ref="B16:P16"/>
    <mergeCell ref="B17:P17"/>
    <mergeCell ref="B18:P18"/>
    <mergeCell ref="B19:P19"/>
    <mergeCell ref="B7:D7"/>
    <mergeCell ref="F7:H7"/>
    <mergeCell ref="J7:L7"/>
    <mergeCell ref="N7:P7"/>
    <mergeCell ref="B12:D12"/>
    <mergeCell ref="F12:H12"/>
    <mergeCell ref="J12:L12"/>
    <mergeCell ref="N12:P12"/>
  </mergeCells>
  <conditionalFormatting sqref="J7">
    <cfRule type="cellIs" dxfId="24" priority="4" operator="lessThan">
      <formula>$D$103</formula>
    </cfRule>
  </conditionalFormatting>
  <conditionalFormatting sqref="J12">
    <cfRule type="cellIs" dxfId="23" priority="2" operator="lessThan">
      <formula>0</formula>
    </cfRule>
  </conditionalFormatting>
  <conditionalFormatting sqref="N12">
    <cfRule type="cellIs" dxfId="22" priority="3" operator="lessThan">
      <formula>0</formula>
    </cfRule>
  </conditionalFormatting>
  <pageMargins left="0.35" right="0.35" top="0.45" bottom="0.45" header="0.511811023622047" footer="0.25"/>
  <pageSetup paperSize="8" orientation="landscape" horizontalDpi="300" verticalDpi="300"/>
  <headerFooter>
    <oddFooter>&amp;L&amp;8 &amp;K808080Atelier North Pte. Ltd.  ·  synthetic FP&amp;&amp;A portfolio model&amp;R&amp;8 &amp;K808080&amp;A  ·  &amp;P /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5C8A"/>
    <pageSetUpPr fitToPage="1"/>
  </sheetPr>
  <dimension ref="B1:E61"/>
  <sheetViews>
    <sheetView showGridLines="0" zoomScale="95" zoomScaleNormal="95" workbookViewId="0">
      <pane xSplit="1" ySplit="5" topLeftCell="B6" activePane="bottomRight" state="frozen"/>
      <selection pane="topRight" activeCell="B1" sqref="B1"/>
      <selection pane="bottomLeft" activeCell="A6" sqref="A6"/>
      <selection pane="bottomRight" activeCell="B2" sqref="B2"/>
    </sheetView>
  </sheetViews>
  <sheetFormatPr defaultColWidth="8.54296875" defaultRowHeight="14.5" x14ac:dyDescent="0.35"/>
  <cols>
    <col min="1" max="1" width="1.6328125" customWidth="1"/>
    <col min="2" max="2" width="54" customWidth="1"/>
    <col min="3" max="4" width="50" customWidth="1"/>
  </cols>
  <sheetData>
    <row r="1" spans="2:5" ht="9" customHeight="1" x14ac:dyDescent="0.35"/>
    <row r="2" spans="2:5" ht="26" customHeight="1" x14ac:dyDescent="0.35">
      <c r="B2" s="173" t="s">
        <v>0</v>
      </c>
      <c r="C2" s="175"/>
      <c r="D2" s="174" t="s">
        <v>1</v>
      </c>
    </row>
    <row r="3" spans="2:5" ht="20" customHeight="1" x14ac:dyDescent="0.35">
      <c r="B3" s="176" t="s">
        <v>569</v>
      </c>
      <c r="C3" s="177"/>
      <c r="D3" s="178" t="s">
        <v>60</v>
      </c>
    </row>
    <row r="4" spans="2:5" ht="15" customHeight="1" x14ac:dyDescent="0.35">
      <c r="B4" s="7"/>
      <c r="C4" s="7"/>
      <c r="D4" s="7"/>
      <c r="E4" s="7"/>
    </row>
    <row r="5" spans="2:5" ht="19.5" customHeight="1" x14ac:dyDescent="0.35">
      <c r="B5" s="148" t="s">
        <v>570</v>
      </c>
      <c r="C5" s="148" t="s">
        <v>571</v>
      </c>
      <c r="D5" s="148" t="s">
        <v>572</v>
      </c>
      <c r="E5" s="7"/>
    </row>
    <row r="6" spans="2:5" ht="18.75" customHeight="1" x14ac:dyDescent="0.35">
      <c r="B6" s="192" t="s">
        <v>573</v>
      </c>
      <c r="C6" s="192"/>
      <c r="D6" s="192"/>
      <c r="E6" s="7"/>
    </row>
    <row r="7" spans="2:5" ht="65.5" customHeight="1" x14ac:dyDescent="0.35">
      <c r="B7" s="149" t="str">
        <f>"Cash falls from "&amp;TEXT('13W Cash Flow'!$D$45,"""S$""#,##0")&amp;" to "&amp;TEXT('13W Cash Flow'!$D$51,"""S$""#,##0")&amp;" in Week "&amp;'13W Cash Flow'!$D$52&amp;", a shortfall of "&amp;TEXT(-'13W Cash Flow'!$D$54,"""S$""#,##0")&amp;" against the "&amp;TEXT('13W Cash Flow'!$D$41,"""S$""#,##0")&amp;" buffer, before recovering to "&amp;TEXT('13W Cash Flow'!$D$46,"""S$""#,##0")&amp;" by Week 13."</f>
        <v>Cash falls from S$205,000 to S$114,528 in Week 9, a shortfall of S$5,472 against the S$120,000 buffer, before recovering to S$139,650 by Week 13.</v>
      </c>
      <c r="C7" s="150" t="s">
        <v>574</v>
      </c>
      <c r="D7" s="150" t="s">
        <v>575</v>
      </c>
      <c r="E7" s="7"/>
    </row>
    <row r="8" spans="2:5" ht="6" customHeight="1" x14ac:dyDescent="0.35">
      <c r="B8" s="7"/>
      <c r="C8" s="7"/>
      <c r="D8" s="7"/>
      <c r="E8" s="7"/>
    </row>
    <row r="9" spans="2:5" ht="18.75" customHeight="1" x14ac:dyDescent="0.35">
      <c r="B9" s="192" t="s">
        <v>576</v>
      </c>
      <c r="C9" s="192"/>
      <c r="D9" s="192"/>
      <c r="E9" s="7"/>
    </row>
    <row r="10" spans="2:5" ht="40.5" customHeight="1" x14ac:dyDescent="0.35">
      <c r="B10" s="149" t="str">
        <f>"Inventory and supplier payments absorb "&amp;TEXT('13W Cash Flow'!$Q$21,"""S$""#,##0")&amp;" of the "&amp;TEXT('13W Cash Flow'!$Q$36,"""S$""#,##0")&amp;" of 13-week outflows ("&amp;TEXT('13W Cash Flow'!$Q$21/'13W Cash Flow'!$Q$36,"0.0%")&amp;"), of which "&amp;TEXT(Assumptions!$C$120,"""S$""#,##0")&amp;" is the scheduled AW26 buy."</f>
        <v>Inventory and supplier payments absorb S$409,023 of the S$779,039 of 13-week outflows (52.5%), of which S$235,000 is the scheduled AW26 buy.</v>
      </c>
      <c r="C10" s="150" t="s">
        <v>577</v>
      </c>
      <c r="D10" s="150" t="s">
        <v>578</v>
      </c>
      <c r="E10" s="7"/>
    </row>
    <row r="11" spans="2:5" ht="6" customHeight="1" x14ac:dyDescent="0.35">
      <c r="B11" s="7"/>
      <c r="C11" s="7"/>
      <c r="D11" s="7"/>
      <c r="E11" s="7"/>
    </row>
    <row r="12" spans="2:5" ht="18.75" customHeight="1" x14ac:dyDescent="0.35">
      <c r="B12" s="192" t="s">
        <v>579</v>
      </c>
      <c r="C12" s="192"/>
      <c r="D12" s="192"/>
      <c r="E12" s="7"/>
    </row>
    <row r="13" spans="2:5" ht="53" customHeight="1" x14ac:dyDescent="0.35">
      <c r="B13" s="149" t="str">
        <f>"Store net sales of "&amp;TEXT('Store Break-Even'!$D$34,"""S$""#,##0")&amp;" per month sit "&amp;TEXT(ABS('Store Break-Even'!$D$36),"0.0%")&amp;" below a break-even of "&amp;TEXT('Store Break-Even'!$D$32,"""S$""#,##0")&amp;", a monthly result of "&amp;TEXT('Store Break-Even'!$D$28,"""S$""#,##0;(""S$""#,##0)")&amp;"."</f>
        <v>Store net sales of S$82,720 per month sit 2.5% below a break-even of S$84,828, a monthly result of (S$1,105).</v>
      </c>
      <c r="C13" s="150" t="str">
        <f>"The store is a rounding error away from covering its own costs. The driver ranking shows sales and gross margin move store profit roughly "&amp;TEXT(MIN('Store Break-Even'!$G$66,'Store Break-Even'!$G$67)/MAX('Store Break-Even'!$G$68,'Store Break-Even'!$G$69),"0.0")&amp;" to "&amp;TEXT(MAX('Store Break-Even'!$G$66,'Store Break-Even'!$G$67)/MIN('Store Break-Even'!$G$68,'Store Break-Even'!$G$69),"0.0")&amp;" times as hard as a proportionate move in rent or payroll, so this is a trading question, not a cost-cutting question."</f>
        <v>The store is a rounding error away from covering its own costs. The driver ranking shows sales and gross margin move store profit roughly 2.0 to 2.6 times as hard as a proportionate move in rent or payroll, so this is a trading question, not a cost-cutting question.</v>
      </c>
      <c r="D13" s="150" t="str">
        <f>"Set a time-boxed trading threshold rather than debating closure: the store must reach "&amp;TEXT('Store Break-Even'!$D$32,"""S$""#,##0")&amp;" of monthly net sales within two quarters. Track it monthly and decide on evidence at the lease break."</f>
        <v>Set a time-boxed trading threshold rather than debating closure: the store must reach S$84,828 of monthly net sales within two quarters. Track it monthly and decide on evidence at the lease break.</v>
      </c>
      <c r="E13" s="7"/>
    </row>
    <row r="14" spans="2:5" ht="6" customHeight="1" x14ac:dyDescent="0.35">
      <c r="B14" s="7"/>
      <c r="C14" s="7"/>
      <c r="D14" s="7"/>
      <c r="E14" s="7"/>
    </row>
    <row r="15" spans="2:5" ht="18.75" customHeight="1" x14ac:dyDescent="0.35">
      <c r="B15" s="192" t="s">
        <v>580</v>
      </c>
      <c r="C15" s="192"/>
      <c r="D15" s="192"/>
      <c r="E15" s="7"/>
    </row>
    <row r="16" spans="2:5" ht="53" customHeight="1" x14ac:dyDescent="0.35">
      <c r="B16" s="149" t="str">
        <f>"The store returns the highest contribution margin of any channel at "&amp;TEXT('Channel Profitability'!$D$23,"0.0%")&amp;" against e-commerce at "&amp;TEXT('Channel Profitability'!$E$23,"0.0%")&amp;", yet after direct fixed costs e-commerce earns "&amp;TEXT('Channel Profitability'!$E$34/6,"""S$""#,##0")&amp;" a month and the store "&amp;TEXT('Channel Profitability'!$D$34/6,"""S$""#,##0;(""S$""#,##0)")&amp;"."</f>
        <v>The store returns the highest contribution margin of any channel at 52.4% against e-commerce at 41.6%, yet after direct fixed costs e-commerce earns S$28,478 a month and the store (S$1,105).</v>
      </c>
      <c r="C16" s="150" t="s">
        <v>581</v>
      </c>
      <c r="D16" s="150" t="s">
        <v>582</v>
      </c>
      <c r="E16" s="7"/>
    </row>
    <row r="17" spans="2:5" ht="6" customHeight="1" x14ac:dyDescent="0.35">
      <c r="B17" s="7"/>
      <c r="C17" s="7"/>
      <c r="D17" s="7"/>
      <c r="E17" s="7"/>
    </row>
    <row r="18" spans="2:5" ht="18.75" customHeight="1" x14ac:dyDescent="0.35">
      <c r="B18" s="192" t="s">
        <v>583</v>
      </c>
      <c r="C18" s="192"/>
      <c r="D18" s="192"/>
      <c r="E18" s="7"/>
    </row>
    <row r="19" spans="2:5" ht="53" customHeight="1" x14ac:dyDescent="0.35">
      <c r="B19" s="149" t="str">
        <f>"Consignment turns a "&amp;TEXT('Channel Profitability'!$G$11,"0.0%")&amp;" product gross margin into a "&amp;TEXT('Channel Profitability'!$G$23,"0.0%")&amp;" contribution margin after a "&amp;TEXT(Assumptions!$C$42,"0.0%")&amp;" partner commission, and the cash arrives "&amp;Assumptions!$C$70&amp;" weeks after the sale."</f>
        <v>Consignment turns a 60.0% product gross margin into a 28.5% contribution margin after a 30.0% partner commission, and the cash arrives 4 weeks after the sale.</v>
      </c>
      <c r="C19" s="150" t="s">
        <v>584</v>
      </c>
      <c r="D19" s="150" t="s">
        <v>585</v>
      </c>
      <c r="E19" s="7"/>
    </row>
    <row r="20" spans="2:5" ht="6" customHeight="1" x14ac:dyDescent="0.35">
      <c r="B20" s="7"/>
      <c r="C20" s="7"/>
      <c r="D20" s="7"/>
      <c r="E20" s="7"/>
    </row>
    <row r="21" spans="2:5" ht="18.75" customHeight="1" x14ac:dyDescent="0.35">
      <c r="B21" s="192" t="s">
        <v>586</v>
      </c>
      <c r="C21" s="192"/>
      <c r="D21" s="192"/>
      <c r="E21" s="7"/>
    </row>
    <row r="22" spans="2:5" ht="40.5" customHeight="1" x14ac:dyDescent="0.35">
      <c r="B22" s="149" t="str">
        <f>"Events return the highest gross margin in the business at "&amp;TEXT('Channel Profitability'!$F$11,"0.0%")&amp;" and a "&amp;TEXT('Channel Profitability'!$F$23,"0.0%")&amp;" contribution margin with no fixed cost, on "&amp;TEXT('Channel Profitability'!$F$8/6,"""S$""#,##0")&amp;" of net revenue per month - but nil in two of the six historical months."</f>
        <v>Events return the highest gross margin in the business at 64.0% and a 44.1% contribution margin with no fixed cost, on S$29,100 of net revenue per month - but nil in two of the six historical months.</v>
      </c>
      <c r="C22" s="150" t="s">
        <v>587</v>
      </c>
      <c r="D22" s="150" t="s">
        <v>588</v>
      </c>
      <c r="E22" s="7"/>
    </row>
    <row r="23" spans="2:5" ht="6" customHeight="1" x14ac:dyDescent="0.35">
      <c r="B23" s="7"/>
      <c r="C23" s="7"/>
      <c r="D23" s="7"/>
      <c r="E23" s="7"/>
    </row>
    <row r="24" spans="2:5" ht="18.75" customHeight="1" x14ac:dyDescent="0.35">
      <c r="B24" s="192" t="s">
        <v>589</v>
      </c>
      <c r="C24" s="192"/>
      <c r="D24" s="192"/>
      <c r="E24" s="7"/>
    </row>
    <row r="25" spans="2:5" ht="90.5" customHeight="1" x14ac:dyDescent="0.35">
      <c r="B25" s="149" t="str">
        <f>"Monthly run-rate operating profit is "&amp;TEXT(Scenarios!$D$50,"""S$""#,##0")&amp;" as-is, "&amp;TEXT(Scenarios!$E$50,"""S$""#,##0")&amp;" under improvement and "&amp;TEXT(Scenarios!$F$50,"""S$""#,##0")&amp;" on exit; Week 13 cash is "&amp;TEXT(Scenarios!$D$63,"""S$""#,##0")&amp;" / "&amp;TEXT(Scenarios!$E$63,"""S$""#,##0")&amp;" / "&amp;TEXT(Scenarios!$F$63,"""S$""#,##0")&amp;"."</f>
        <v>Monthly run-rate operating profit is S$20,196 as-is, S$27,343 under improvement and S$27,088 on exit; Week 13 cash is S$139,650 / S$163,302 / S$110,579.</v>
      </c>
      <c r="C25" s="150" t="str">
        <f>"Exit removes a fixed-cost base the store is not covering, but it consumes cash at the worst possible moment: the exit case spends "&amp;TEXT(Scenarios!$F$67,"0")&amp;" of the 13 weeks below the minimum cash buffer and ends the quarter at "&amp;TEXT(Scenarios!$F$63,"""S$""#,##0")&amp;" against "&amp;TEXT(Scenarios!$E$63,"""S$""#,##0")&amp;" under improvement. It also permanently removes about a quarter of group revenue and needs "&amp;TEXT(Scenarios!$F$73,"0.0%")&amp;" online migration merely to match the improvement case - against the "&amp;TEXT(Scenarios!$F$12,"0.0%")&amp;" assumed."</f>
        <v>Exit removes a fixed-cost base the store is not covering, but it consumes cash at the worst possible moment: the exit case spends 6 of the 13 weeks below the minimum cash buffer and ends the quarter at S$110,579 against S$163,302 under improvement. It also permanently removes about a quarter of group revenue and needs 25.8% online migration merely to match the improvement case - against the 25.0% assumed.</v>
      </c>
      <c r="D25" s="150" t="s">
        <v>590</v>
      </c>
      <c r="E25" s="7"/>
    </row>
    <row r="26" spans="2:5" ht="6" customHeight="1" x14ac:dyDescent="0.35">
      <c r="B26" s="7"/>
      <c r="C26" s="7"/>
      <c r="D26" s="7"/>
      <c r="E26" s="7"/>
    </row>
    <row r="27" spans="2:5" ht="15.75" customHeight="1" x14ac:dyDescent="0.35">
      <c r="B27" s="193" t="s">
        <v>591</v>
      </c>
      <c r="C27" s="193"/>
      <c r="D27" s="193"/>
      <c r="E27" s="7"/>
    </row>
    <row r="28" spans="2:5" ht="47.25" customHeight="1" x14ac:dyDescent="0.35">
      <c r="B28" s="7"/>
      <c r="C28" s="7"/>
      <c r="D28" s="7"/>
      <c r="E28" s="7"/>
    </row>
    <row r="29" spans="2:5" ht="15" customHeight="1" x14ac:dyDescent="0.35">
      <c r="B29" s="7"/>
      <c r="C29" s="7"/>
      <c r="D29" s="7"/>
      <c r="E29" s="7"/>
    </row>
    <row r="30" spans="2:5" ht="16.5" customHeight="1" x14ac:dyDescent="0.35">
      <c r="B30" s="7"/>
      <c r="C30" s="7"/>
      <c r="D30" s="7"/>
      <c r="E30" s="7"/>
    </row>
    <row r="31" spans="2:5" ht="58.5" customHeight="1" x14ac:dyDescent="0.35">
      <c r="B31" s="7"/>
      <c r="C31" s="7"/>
      <c r="D31" s="7"/>
      <c r="E31" s="7"/>
    </row>
    <row r="32" spans="2:5" ht="58.5" customHeight="1" x14ac:dyDescent="0.35">
      <c r="B32" s="7"/>
      <c r="C32" s="7"/>
      <c r="D32" s="7"/>
      <c r="E32" s="7"/>
    </row>
    <row r="33" spans="2:5" ht="47.25" customHeight="1" x14ac:dyDescent="0.35">
      <c r="B33" s="7"/>
      <c r="C33" s="7"/>
      <c r="D33" s="7"/>
      <c r="E33" s="7"/>
    </row>
    <row r="34" spans="2:5" ht="15" customHeight="1" x14ac:dyDescent="0.35">
      <c r="B34" s="7"/>
      <c r="C34" s="7"/>
      <c r="D34" s="7"/>
      <c r="E34" s="7"/>
    </row>
    <row r="35" spans="2:5" ht="16.5" customHeight="1" x14ac:dyDescent="0.35">
      <c r="B35" s="7"/>
      <c r="C35" s="7"/>
      <c r="D35" s="7"/>
      <c r="E35" s="7"/>
    </row>
    <row r="36" spans="2:5" ht="58.5" customHeight="1" x14ac:dyDescent="0.35">
      <c r="B36" s="7"/>
      <c r="C36" s="7"/>
      <c r="D36" s="7"/>
      <c r="E36" s="7"/>
    </row>
    <row r="37" spans="2:5" ht="58.5" customHeight="1" x14ac:dyDescent="0.35">
      <c r="B37" s="7"/>
      <c r="C37" s="7"/>
      <c r="D37" s="7"/>
      <c r="E37" s="7"/>
    </row>
    <row r="38" spans="2:5" ht="70.5" customHeight="1" x14ac:dyDescent="0.35">
      <c r="B38" s="7"/>
      <c r="C38" s="7"/>
      <c r="D38" s="7"/>
      <c r="E38" s="7"/>
    </row>
    <row r="39" spans="2:5" ht="15" customHeight="1" x14ac:dyDescent="0.35">
      <c r="B39" s="7"/>
      <c r="C39" s="7"/>
      <c r="D39" s="7"/>
      <c r="E39" s="7"/>
    </row>
    <row r="40" spans="2:5" ht="25.5" customHeight="1" x14ac:dyDescent="0.35">
      <c r="B40" s="7"/>
      <c r="C40" s="7"/>
      <c r="D40" s="7"/>
      <c r="E40" s="7"/>
    </row>
    <row r="41" spans="2:5" ht="15" customHeight="1" x14ac:dyDescent="0.35">
      <c r="B41" s="7"/>
      <c r="C41" s="7"/>
      <c r="D41" s="7"/>
      <c r="E41" s="7"/>
    </row>
    <row r="42" spans="2:5" ht="15" customHeight="1" x14ac:dyDescent="0.35">
      <c r="B42" s="7"/>
      <c r="C42" s="7"/>
      <c r="D42" s="7"/>
      <c r="E42" s="7"/>
    </row>
    <row r="43" spans="2:5" ht="15" customHeight="1" x14ac:dyDescent="0.35">
      <c r="B43" s="7"/>
      <c r="C43" s="7"/>
      <c r="D43" s="7"/>
      <c r="E43" s="7"/>
    </row>
    <row r="44" spans="2:5" ht="15" customHeight="1" x14ac:dyDescent="0.35">
      <c r="B44" s="7"/>
      <c r="C44" s="7"/>
      <c r="D44" s="7"/>
      <c r="E44" s="7"/>
    </row>
    <row r="45" spans="2:5" ht="15" customHeight="1" x14ac:dyDescent="0.35">
      <c r="B45" s="7"/>
      <c r="C45" s="7"/>
      <c r="D45" s="7"/>
      <c r="E45" s="7"/>
    </row>
    <row r="46" spans="2:5" ht="15" customHeight="1" x14ac:dyDescent="0.35">
      <c r="B46" s="7"/>
      <c r="C46" s="7"/>
      <c r="D46" s="7"/>
      <c r="E46" s="7"/>
    </row>
    <row r="47" spans="2:5" ht="15" customHeight="1" x14ac:dyDescent="0.35">
      <c r="B47" s="7"/>
      <c r="C47" s="7"/>
      <c r="D47" s="7"/>
      <c r="E47" s="7"/>
    </row>
    <row r="48" spans="2:5" ht="15" customHeight="1" x14ac:dyDescent="0.35">
      <c r="B48" s="7"/>
      <c r="C48" s="7"/>
      <c r="D48" s="7"/>
      <c r="E48" s="7"/>
    </row>
    <row r="49" spans="2:5" ht="15" customHeight="1" x14ac:dyDescent="0.35">
      <c r="B49" s="7"/>
      <c r="C49" s="7"/>
      <c r="D49" s="7"/>
      <c r="E49" s="7"/>
    </row>
    <row r="50" spans="2:5" ht="15" customHeight="1" x14ac:dyDescent="0.35">
      <c r="B50" s="7"/>
      <c r="C50" s="7"/>
      <c r="D50" s="7"/>
      <c r="E50" s="7"/>
    </row>
    <row r="51" spans="2:5" ht="15" customHeight="1" x14ac:dyDescent="0.35">
      <c r="B51" s="7"/>
      <c r="C51" s="7"/>
      <c r="D51" s="7"/>
      <c r="E51" s="7"/>
    </row>
    <row r="52" spans="2:5" ht="15" customHeight="1" x14ac:dyDescent="0.35">
      <c r="B52" s="7"/>
      <c r="C52" s="7"/>
      <c r="D52" s="7"/>
      <c r="E52" s="7"/>
    </row>
    <row r="53" spans="2:5" ht="15" customHeight="1" x14ac:dyDescent="0.35">
      <c r="B53" s="7"/>
      <c r="C53" s="7"/>
      <c r="D53" s="7"/>
      <c r="E53" s="7"/>
    </row>
    <row r="54" spans="2:5" ht="15" customHeight="1" x14ac:dyDescent="0.35">
      <c r="B54" s="7"/>
      <c r="C54" s="7"/>
      <c r="D54" s="7"/>
      <c r="E54" s="7"/>
    </row>
    <row r="55" spans="2:5" ht="15" customHeight="1" x14ac:dyDescent="0.35">
      <c r="B55" s="7"/>
      <c r="C55" s="7"/>
      <c r="D55" s="7"/>
      <c r="E55" s="7"/>
    </row>
    <row r="56" spans="2:5" ht="15" customHeight="1" x14ac:dyDescent="0.35">
      <c r="B56" s="7"/>
      <c r="C56" s="7"/>
      <c r="D56" s="7"/>
      <c r="E56" s="7"/>
    </row>
    <row r="57" spans="2:5" ht="15" customHeight="1" x14ac:dyDescent="0.35">
      <c r="B57" s="7"/>
      <c r="C57" s="7"/>
      <c r="D57" s="7"/>
      <c r="E57" s="7"/>
    </row>
    <row r="58" spans="2:5" ht="15" customHeight="1" x14ac:dyDescent="0.35">
      <c r="B58" s="7"/>
      <c r="C58" s="7"/>
      <c r="D58" s="7"/>
      <c r="E58" s="7"/>
    </row>
    <row r="59" spans="2:5" ht="15" customHeight="1" x14ac:dyDescent="0.35">
      <c r="B59" s="7"/>
      <c r="C59" s="7"/>
      <c r="D59" s="7"/>
      <c r="E59" s="7"/>
    </row>
    <row r="60" spans="2:5" ht="15" customHeight="1" x14ac:dyDescent="0.35">
      <c r="B60" s="7"/>
      <c r="C60" s="7"/>
      <c r="D60" s="7"/>
      <c r="E60" s="7"/>
    </row>
    <row r="61" spans="2:5" ht="15" customHeight="1" x14ac:dyDescent="0.35">
      <c r="B61" s="7"/>
      <c r="C61" s="7"/>
      <c r="D61" s="7"/>
      <c r="E61" s="7"/>
    </row>
  </sheetData>
  <mergeCells count="8">
    <mergeCell ref="B21:D21"/>
    <mergeCell ref="B24:D24"/>
    <mergeCell ref="B27:D27"/>
    <mergeCell ref="B6:D6"/>
    <mergeCell ref="B9:D9"/>
    <mergeCell ref="B12:D12"/>
    <mergeCell ref="B15:D15"/>
    <mergeCell ref="B18:D18"/>
  </mergeCells>
  <hyperlinks>
    <hyperlink ref="D3" location="'Dashboard'!A1" display="Back to Dashboard" xr:uid="{00000000-0004-0000-0700-000000000000}"/>
  </hyperlinks>
  <pageMargins left="0.35" right="0.35" top="0.45" bottom="0.45" header="0.511811023622047" footer="0.25"/>
  <pageSetup paperSize="9" fitToHeight="0" orientation="landscape" horizontalDpi="300" verticalDpi="300"/>
  <headerFooter>
    <oddFooter>&amp;L&amp;8 &amp;K808080Atelier North Pte. Ltd.  ·  synthetic FP&amp;&amp;A portfolio model&amp;R&amp;8 &amp;K808080&amp;A  ·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2F4B"/>
    <pageSetUpPr fitToPage="1"/>
  </sheetPr>
  <dimension ref="B1:R102"/>
  <sheetViews>
    <sheetView showGridLines="0" zoomScale="85" zoomScaleNormal="85" workbookViewId="0">
      <pane xSplit="3" ySplit="8" topLeftCell="D9" activePane="bottomRight" state="frozen"/>
      <selection pane="topRight" activeCell="D1" sqref="D1"/>
      <selection pane="bottomLeft" activeCell="A9" sqref="A9"/>
      <selection pane="bottomRight" activeCell="B2" sqref="B2"/>
    </sheetView>
  </sheetViews>
  <sheetFormatPr defaultColWidth="8.54296875" defaultRowHeight="14.5" x14ac:dyDescent="0.35"/>
  <cols>
    <col min="1" max="1" width="1.6328125" customWidth="1"/>
    <col min="2" max="2" width="42" customWidth="1"/>
    <col min="3" max="3" width="16" customWidth="1"/>
    <col min="4" max="16" width="10.90625" customWidth="1"/>
    <col min="17" max="18" width="12.81640625" customWidth="1"/>
  </cols>
  <sheetData>
    <row r="1" spans="2:18" ht="9" customHeight="1" x14ac:dyDescent="0.35"/>
    <row r="2" spans="2:18" ht="26" customHeight="1" x14ac:dyDescent="0.35">
      <c r="B2" s="173" t="s">
        <v>0</v>
      </c>
      <c r="C2" s="175"/>
      <c r="D2" s="175"/>
      <c r="E2" s="175"/>
      <c r="F2" s="175"/>
      <c r="G2" s="175"/>
      <c r="H2" s="175"/>
      <c r="I2" s="175"/>
      <c r="J2" s="175"/>
      <c r="K2" s="175"/>
      <c r="L2" s="175"/>
      <c r="M2" s="175"/>
      <c r="N2" s="175"/>
      <c r="O2" s="175"/>
      <c r="P2" s="175"/>
      <c r="Q2" s="175"/>
      <c r="R2" s="174" t="s">
        <v>1</v>
      </c>
    </row>
    <row r="3" spans="2:18" ht="20" customHeight="1" x14ac:dyDescent="0.35">
      <c r="B3" s="176" t="s">
        <v>228</v>
      </c>
      <c r="C3" s="177"/>
      <c r="D3" s="177"/>
      <c r="E3" s="177"/>
      <c r="F3" s="177"/>
      <c r="G3" s="177"/>
      <c r="H3" s="177"/>
      <c r="I3" s="177"/>
      <c r="J3" s="177"/>
      <c r="K3" s="177"/>
      <c r="L3" s="177"/>
      <c r="M3" s="177"/>
      <c r="N3" s="177"/>
      <c r="O3" s="177"/>
      <c r="P3" s="177"/>
      <c r="Q3" s="177"/>
      <c r="R3" s="178" t="s">
        <v>60</v>
      </c>
    </row>
    <row r="4" spans="2:18" ht="15" customHeight="1" x14ac:dyDescent="0.35">
      <c r="B4" s="3"/>
      <c r="C4" s="3"/>
      <c r="D4" s="3"/>
      <c r="E4" s="3"/>
      <c r="F4" s="3"/>
      <c r="G4" s="3"/>
      <c r="H4" s="3"/>
      <c r="I4" s="3"/>
      <c r="J4" s="3"/>
      <c r="K4" s="3"/>
      <c r="L4" s="3"/>
      <c r="M4" s="3"/>
      <c r="N4" s="3"/>
      <c r="O4" s="3"/>
      <c r="P4" s="3"/>
      <c r="Q4" s="3"/>
      <c r="R4" s="3"/>
    </row>
    <row r="5" spans="2:18" ht="25.5" customHeight="1" x14ac:dyDescent="0.35">
      <c r="B5" s="48" t="s">
        <v>76</v>
      </c>
      <c r="C5" s="48" t="s">
        <v>229</v>
      </c>
      <c r="D5" s="49" t="s">
        <v>230</v>
      </c>
      <c r="E5" s="49" t="s">
        <v>231</v>
      </c>
      <c r="F5" s="49" t="s">
        <v>232</v>
      </c>
      <c r="G5" s="49" t="s">
        <v>233</v>
      </c>
      <c r="H5" s="49" t="s">
        <v>234</v>
      </c>
      <c r="I5" s="49" t="s">
        <v>235</v>
      </c>
      <c r="J5" s="49" t="s">
        <v>236</v>
      </c>
      <c r="K5" s="49" t="s">
        <v>237</v>
      </c>
      <c r="L5" s="49" t="s">
        <v>238</v>
      </c>
      <c r="M5" s="49" t="s">
        <v>239</v>
      </c>
      <c r="N5" s="49" t="s">
        <v>240</v>
      </c>
      <c r="O5" s="49" t="s">
        <v>241</v>
      </c>
      <c r="P5" s="49" t="s">
        <v>242</v>
      </c>
      <c r="Q5" s="50" t="s">
        <v>243</v>
      </c>
      <c r="R5" s="50" t="s">
        <v>244</v>
      </c>
    </row>
    <row r="6" spans="2:18" ht="13.5" customHeight="1" x14ac:dyDescent="0.35">
      <c r="B6" s="1" t="s">
        <v>245</v>
      </c>
      <c r="C6" s="3"/>
      <c r="D6" s="51">
        <v>1</v>
      </c>
      <c r="E6" s="51">
        <f t="shared" ref="E6:P6" si="0">D6+1</f>
        <v>2</v>
      </c>
      <c r="F6" s="51">
        <f t="shared" si="0"/>
        <v>3</v>
      </c>
      <c r="G6" s="51">
        <f t="shared" si="0"/>
        <v>4</v>
      </c>
      <c r="H6" s="51">
        <f t="shared" si="0"/>
        <v>5</v>
      </c>
      <c r="I6" s="51">
        <f t="shared" si="0"/>
        <v>6</v>
      </c>
      <c r="J6" s="51">
        <f t="shared" si="0"/>
        <v>7</v>
      </c>
      <c r="K6" s="51">
        <f t="shared" si="0"/>
        <v>8</v>
      </c>
      <c r="L6" s="51">
        <f t="shared" si="0"/>
        <v>9</v>
      </c>
      <c r="M6" s="51">
        <f t="shared" si="0"/>
        <v>10</v>
      </c>
      <c r="N6" s="51">
        <f t="shared" si="0"/>
        <v>11</v>
      </c>
      <c r="O6" s="51">
        <f t="shared" si="0"/>
        <v>12</v>
      </c>
      <c r="P6" s="51">
        <f t="shared" si="0"/>
        <v>13</v>
      </c>
      <c r="Q6" s="3"/>
      <c r="R6" s="3"/>
    </row>
    <row r="7" spans="2:18" ht="13.5" customHeight="1" x14ac:dyDescent="0.35">
      <c r="B7" s="1" t="s">
        <v>246</v>
      </c>
      <c r="C7" s="3"/>
      <c r="D7" s="52">
        <f>Assumptions!$C$8</f>
        <v>46237</v>
      </c>
      <c r="E7" s="53">
        <f t="shared" ref="E7:P7" si="1">D7+7</f>
        <v>46244</v>
      </c>
      <c r="F7" s="53">
        <f t="shared" si="1"/>
        <v>46251</v>
      </c>
      <c r="G7" s="53">
        <f t="shared" si="1"/>
        <v>46258</v>
      </c>
      <c r="H7" s="53">
        <f t="shared" si="1"/>
        <v>46265</v>
      </c>
      <c r="I7" s="53">
        <f t="shared" si="1"/>
        <v>46272</v>
      </c>
      <c r="J7" s="53">
        <f t="shared" si="1"/>
        <v>46279</v>
      </c>
      <c r="K7" s="53">
        <f t="shared" si="1"/>
        <v>46286</v>
      </c>
      <c r="L7" s="53">
        <f t="shared" si="1"/>
        <v>46293</v>
      </c>
      <c r="M7" s="53">
        <f t="shared" si="1"/>
        <v>46300</v>
      </c>
      <c r="N7" s="53">
        <f t="shared" si="1"/>
        <v>46307</v>
      </c>
      <c r="O7" s="53">
        <f t="shared" si="1"/>
        <v>46314</v>
      </c>
      <c r="P7" s="53">
        <f t="shared" si="1"/>
        <v>46321</v>
      </c>
      <c r="Q7" s="3"/>
      <c r="R7" s="3"/>
    </row>
    <row r="8" spans="2:18" ht="15" customHeight="1" x14ac:dyDescent="0.35">
      <c r="B8" s="54" t="s">
        <v>247</v>
      </c>
      <c r="C8" s="36"/>
      <c r="D8" s="55">
        <f t="shared" ref="D8:P8" si="2">D7+6</f>
        <v>46243</v>
      </c>
      <c r="E8" s="55">
        <f t="shared" si="2"/>
        <v>46250</v>
      </c>
      <c r="F8" s="55">
        <f t="shared" si="2"/>
        <v>46257</v>
      </c>
      <c r="G8" s="55">
        <f t="shared" si="2"/>
        <v>46264</v>
      </c>
      <c r="H8" s="55">
        <f t="shared" si="2"/>
        <v>46271</v>
      </c>
      <c r="I8" s="55">
        <f t="shared" si="2"/>
        <v>46278</v>
      </c>
      <c r="J8" s="55">
        <f t="shared" si="2"/>
        <v>46285</v>
      </c>
      <c r="K8" s="55">
        <f t="shared" si="2"/>
        <v>46292</v>
      </c>
      <c r="L8" s="55">
        <f t="shared" si="2"/>
        <v>46299</v>
      </c>
      <c r="M8" s="55">
        <f t="shared" si="2"/>
        <v>46306</v>
      </c>
      <c r="N8" s="55">
        <f t="shared" si="2"/>
        <v>46313</v>
      </c>
      <c r="O8" s="55">
        <f t="shared" si="2"/>
        <v>46320</v>
      </c>
      <c r="P8" s="55">
        <f t="shared" si="2"/>
        <v>46327</v>
      </c>
      <c r="Q8" s="36"/>
      <c r="R8" s="36"/>
    </row>
    <row r="9" spans="2:18" ht="15" customHeight="1" x14ac:dyDescent="0.35">
      <c r="B9" s="3"/>
      <c r="C9" s="3"/>
      <c r="D9" s="3"/>
      <c r="E9" s="3"/>
      <c r="F9" s="3"/>
      <c r="G9" s="3"/>
      <c r="H9" s="3"/>
      <c r="I9" s="3"/>
      <c r="J9" s="3"/>
      <c r="K9" s="3"/>
      <c r="L9" s="3"/>
      <c r="M9" s="3"/>
      <c r="N9" s="3"/>
      <c r="O9" s="3"/>
      <c r="P9" s="3"/>
      <c r="Q9" s="3"/>
      <c r="R9" s="3"/>
    </row>
    <row r="10" spans="2:18" ht="18" customHeight="1" x14ac:dyDescent="0.35">
      <c r="B10" s="56" t="s">
        <v>248</v>
      </c>
      <c r="C10" s="57" t="s">
        <v>249</v>
      </c>
      <c r="D10" s="58">
        <f>Assumptions!$C$13</f>
        <v>205000</v>
      </c>
      <c r="E10" s="58">
        <f t="shared" ref="E10:P10" si="3">D40</f>
        <v>229516.48595999999</v>
      </c>
      <c r="F10" s="58">
        <f t="shared" si="3"/>
        <v>210506.60658399999</v>
      </c>
      <c r="G10" s="58">
        <f t="shared" si="3"/>
        <v>237278.14225999999</v>
      </c>
      <c r="H10" s="58">
        <f t="shared" si="3"/>
        <v>265003.41797999997</v>
      </c>
      <c r="I10" s="58">
        <f t="shared" si="3"/>
        <v>173817.28978399996</v>
      </c>
      <c r="J10" s="58">
        <f t="shared" si="3"/>
        <v>196072.19999999995</v>
      </c>
      <c r="K10" s="58">
        <f t="shared" si="3"/>
        <v>232293.09139999998</v>
      </c>
      <c r="L10" s="58">
        <f t="shared" si="3"/>
        <v>180344.89755599998</v>
      </c>
      <c r="M10" s="58">
        <f t="shared" si="3"/>
        <v>114528.43459999998</v>
      </c>
      <c r="N10" s="58">
        <f t="shared" si="3"/>
        <v>134028.49608399998</v>
      </c>
      <c r="O10" s="58">
        <f t="shared" si="3"/>
        <v>129334.05525199998</v>
      </c>
      <c r="P10" s="58">
        <f t="shared" si="3"/>
        <v>160084.20993199997</v>
      </c>
      <c r="Q10" s="3"/>
      <c r="R10" s="3"/>
    </row>
    <row r="11" spans="2:18" ht="6" customHeight="1" x14ac:dyDescent="0.35">
      <c r="B11" s="3"/>
      <c r="C11" s="3"/>
      <c r="D11" s="3"/>
      <c r="E11" s="3"/>
      <c r="F11" s="3"/>
      <c r="G11" s="3"/>
      <c r="H11" s="3"/>
      <c r="I11" s="3"/>
      <c r="J11" s="3"/>
      <c r="K11" s="3"/>
      <c r="L11" s="3"/>
      <c r="M11" s="3"/>
      <c r="N11" s="3"/>
      <c r="O11" s="3"/>
      <c r="P11" s="3"/>
      <c r="Q11" s="3"/>
      <c r="R11" s="3"/>
    </row>
    <row r="12" spans="2:18" ht="18" customHeight="1" x14ac:dyDescent="0.35">
      <c r="B12" s="12" t="s">
        <v>250</v>
      </c>
      <c r="C12" s="12"/>
      <c r="D12" s="12"/>
      <c r="E12" s="12"/>
      <c r="F12" s="12"/>
      <c r="G12" s="12"/>
      <c r="H12" s="12"/>
      <c r="I12" s="12"/>
      <c r="J12" s="12"/>
      <c r="K12" s="12"/>
      <c r="L12" s="12"/>
      <c r="M12" s="12"/>
      <c r="N12" s="12"/>
      <c r="O12" s="12"/>
      <c r="P12" s="12"/>
      <c r="Q12" s="12"/>
      <c r="R12" s="12"/>
    </row>
    <row r="13" spans="2:18" ht="15" customHeight="1" x14ac:dyDescent="0.35">
      <c r="B13" s="25" t="s">
        <v>251</v>
      </c>
      <c r="C13" s="59" t="s">
        <v>252</v>
      </c>
      <c r="D13" s="33">
        <f>D73*Assumptions!$C$67+IF(D$6=1,Assumptions!$C$72,INDEX($D$73:$P$73,1,D$6-1)*(1-Assumptions!$C$67))</f>
        <v>18197.667999999998</v>
      </c>
      <c r="E13" s="33">
        <f>E73*Assumptions!$C$67+IF(E$6=1,Assumptions!$C$72,INDEX($D$73:$P$73,1,E$6-1)*(1-Assumptions!$C$67))</f>
        <v>20410.107199999999</v>
      </c>
      <c r="F13" s="33">
        <f>F73*Assumptions!$C$67+IF(F$6=1,Assumptions!$C$72,INDEX($D$73:$P$73,1,F$6-1)*(1-Assumptions!$C$67))</f>
        <v>17799.689599999998</v>
      </c>
      <c r="G13" s="33">
        <f>G73*Assumptions!$C$67+IF(G$6=1,Assumptions!$C$72,INDEX($D$73:$P$73,1,G$6-1)*(1-Assumptions!$C$67))</f>
        <v>17204.331200000001</v>
      </c>
      <c r="H13" s="33">
        <f>H73*Assumptions!$C$67+IF(H$6=1,Assumptions!$C$72,INDEX($D$73:$P$73,1,H$6-1)*(1-Assumptions!$C$67))</f>
        <v>17700.463199999998</v>
      </c>
      <c r="I13" s="33">
        <f>I73*Assumptions!$C$67+IF(I$6=1,Assumptions!$C$72,INDEX($D$73:$P$73,1,I$6-1)*(1-Assumptions!$C$67))</f>
        <v>18448.477599999998</v>
      </c>
      <c r="J13" s="33">
        <f>J73*Assumptions!$C$67+IF(J$6=1,Assumptions!$C$72,INDEX($D$73:$P$73,1,J$6-1)*(1-Assumptions!$C$67))</f>
        <v>19036.2032</v>
      </c>
      <c r="K13" s="33">
        <f>K73*Assumptions!$C$67+IF(K$6=1,Assumptions!$C$72,INDEX($D$73:$P$73,1,K$6-1)*(1-Assumptions!$C$67))</f>
        <v>19433.108799999998</v>
      </c>
      <c r="L13" s="33">
        <f>L73*Assumptions!$C$67+IF(L$6=1,Assumptions!$C$72,INDEX($D$73:$P$73,1,L$6-1)*(1-Assumptions!$C$67))</f>
        <v>18761.422399999999</v>
      </c>
      <c r="M13" s="33">
        <f>M73*Assumptions!$C$67+IF(M$6=1,Assumptions!$C$72,INDEX($D$73:$P$73,1,M$6-1)*(1-Assumptions!$C$67))</f>
        <v>19578.132000000001</v>
      </c>
      <c r="N13" s="33">
        <f>N73*Assumptions!$C$67+IF(N$6=1,Assumptions!$C$72,INDEX($D$73:$P$73,1,N$6-1)*(1-Assumptions!$C$67))</f>
        <v>20181.123199999998</v>
      </c>
      <c r="O13" s="33">
        <f>O73*Assumptions!$C$67+IF(O$6=1,Assumptions!$C$72,INDEX($D$73:$P$73,1,O$6-1)*(1-Assumptions!$C$67))</f>
        <v>20929.137599999995</v>
      </c>
      <c r="P13" s="33">
        <f>P73*Assumptions!$C$67+IF(P$6=1,Assumptions!$C$72,INDEX($D$73:$P$73,1,P$6-1)*(1-Assumptions!$C$67))</f>
        <v>21692.417599999997</v>
      </c>
      <c r="Q13" s="33">
        <f t="shared" ref="Q13:Q18" si="4">SUM(D13:P13)</f>
        <v>249372.28159999999</v>
      </c>
      <c r="R13" s="60">
        <f t="shared" ref="R13:R18" si="5">AVERAGE(D13:P13)</f>
        <v>19182.483199999999</v>
      </c>
    </row>
    <row r="14" spans="2:18" ht="15" customHeight="1" x14ac:dyDescent="0.35">
      <c r="B14" s="25" t="s">
        <v>253</v>
      </c>
      <c r="C14" s="59" t="s">
        <v>254</v>
      </c>
      <c r="D14" s="33">
        <f>D74*Assumptions!$C$68+IF(D$6=1,Assumptions!$C$73,INDEX($D$74:$P$74,1,D$6-1)*(1-Assumptions!$C$68))</f>
        <v>21016.22</v>
      </c>
      <c r="E14" s="33">
        <f>E74*Assumptions!$C$68+IF(E$6=1,Assumptions!$C$73,INDEX($D$74:$P$74,1,E$6-1)*(1-Assumptions!$C$68))</f>
        <v>22379.279999999999</v>
      </c>
      <c r="F14" s="33">
        <f>F74*Assumptions!$C$68+IF(F$6=1,Assumptions!$C$73,INDEX($D$74:$P$74,1,F$6-1)*(1-Assumptions!$C$68))</f>
        <v>20988.66</v>
      </c>
      <c r="G14" s="33">
        <f>G74*Assumptions!$C$68+IF(G$6=1,Assumptions!$C$73,INDEX($D$74:$P$74,1,G$6-1)*(1-Assumptions!$C$68))</f>
        <v>20514.34</v>
      </c>
      <c r="H14" s="33">
        <f>H74*Assumptions!$C$68+IF(H$6=1,Assumptions!$C$73,INDEX($D$74:$P$74,1,H$6-1)*(1-Assumptions!$C$68))</f>
        <v>21215.040000000001</v>
      </c>
      <c r="I14" s="33">
        <f>I74*Assumptions!$C$68+IF(I$6=1,Assumptions!$C$73,INDEX($D$74:$P$74,1,I$6-1)*(1-Assumptions!$C$68))</f>
        <v>21894.18</v>
      </c>
      <c r="J14" s="33">
        <f>J74*Assumptions!$C$68+IF(J$6=1,Assumptions!$C$73,INDEX($D$74:$P$74,1,J$6-1)*(1-Assumptions!$C$68))</f>
        <v>22357.72</v>
      </c>
      <c r="K14" s="33">
        <f>K74*Assumptions!$C$68+IF(K$6=1,Assumptions!$C$73,INDEX($D$74:$P$74,1,K$6-1)*(1-Assumptions!$C$68))</f>
        <v>22788.92</v>
      </c>
      <c r="L14" s="33">
        <f>L74*Assumptions!$C$68+IF(L$6=1,Assumptions!$C$73,INDEX($D$74:$P$74,1,L$6-1)*(1-Assumptions!$C$68))</f>
        <v>22670.34</v>
      </c>
      <c r="M14" s="33">
        <f>M74*Assumptions!$C$68+IF(M$6=1,Assumptions!$C$73,INDEX($D$74:$P$74,1,M$6-1)*(1-Assumptions!$C$68))</f>
        <v>23187.78</v>
      </c>
      <c r="N14" s="33">
        <f>N74*Assumptions!$C$68+IF(N$6=1,Assumptions!$C$73,INDEX($D$74:$P$74,1,N$6-1)*(1-Assumptions!$C$68))</f>
        <v>24017.840000000004</v>
      </c>
      <c r="O14" s="33">
        <f>O74*Assumptions!$C$68+IF(O$6=1,Assumptions!$C$73,INDEX($D$74:$P$74,1,O$6-1)*(1-Assumptions!$C$68))</f>
        <v>24696.98</v>
      </c>
      <c r="P14" s="33">
        <f>P74*Assumptions!$C$68+IF(P$6=1,Assumptions!$C$73,INDEX($D$74:$P$74,1,P$6-1)*(1-Assumptions!$C$68))</f>
        <v>25710.3</v>
      </c>
      <c r="Q14" s="33">
        <f t="shared" si="4"/>
        <v>293437.59999999998</v>
      </c>
      <c r="R14" s="60">
        <f t="shared" si="5"/>
        <v>22572.123076923075</v>
      </c>
    </row>
    <row r="15" spans="2:18" ht="15" customHeight="1" x14ac:dyDescent="0.35">
      <c r="B15" s="25" t="s">
        <v>255</v>
      </c>
      <c r="C15" s="59" t="s">
        <v>256</v>
      </c>
      <c r="D15" s="33">
        <f>D75*Assumptions!$C$69+IF(D$6=1,0,INDEX($D$75:$P$75,1,D$6-1)*(1-Assumptions!$C$69))</f>
        <v>0</v>
      </c>
      <c r="E15" s="33">
        <f>E75*Assumptions!$C$69+IF(E$6=1,0,INDEX($D$75:$P$75,1,E$6-1)*(1-Assumptions!$C$69))</f>
        <v>23280</v>
      </c>
      <c r="F15" s="33">
        <f>F75*Assumptions!$C$69+IF(F$6=1,0,INDEX($D$75:$P$75,1,F$6-1)*(1-Assumptions!$C$69))</f>
        <v>0</v>
      </c>
      <c r="G15" s="33">
        <f>G75*Assumptions!$C$69+IF(G$6=1,0,INDEX($D$75:$P$75,1,G$6-1)*(1-Assumptions!$C$69))</f>
        <v>0</v>
      </c>
      <c r="H15" s="33">
        <f>H75*Assumptions!$C$69+IF(H$6=1,0,INDEX($D$75:$P$75,1,H$6-1)*(1-Assumptions!$C$69))</f>
        <v>0</v>
      </c>
      <c r="I15" s="33">
        <f>I75*Assumptions!$C$69+IF(I$6=1,0,INDEX($D$75:$P$75,1,I$6-1)*(1-Assumptions!$C$69))</f>
        <v>0</v>
      </c>
      <c r="J15" s="33">
        <f>J75*Assumptions!$C$69+IF(J$6=1,0,INDEX($D$75:$P$75,1,J$6-1)*(1-Assumptions!$C$69))</f>
        <v>18624</v>
      </c>
      <c r="K15" s="33">
        <f>K75*Assumptions!$C$69+IF(K$6=1,0,INDEX($D$75:$P$75,1,K$6-1)*(1-Assumptions!$C$69))</f>
        <v>0</v>
      </c>
      <c r="L15" s="33">
        <f>L75*Assumptions!$C$69+IF(L$6=1,0,INDEX($D$75:$P$75,1,L$6-1)*(1-Assumptions!$C$69))</f>
        <v>0</v>
      </c>
      <c r="M15" s="33">
        <f>M75*Assumptions!$C$69+IF(M$6=1,0,INDEX($D$75:$P$75,1,M$6-1)*(1-Assumptions!$C$69))</f>
        <v>0</v>
      </c>
      <c r="N15" s="33">
        <f>N75*Assumptions!$C$69+IF(N$6=1,0,INDEX($D$75:$P$75,1,N$6-1)*(1-Assumptions!$C$69))</f>
        <v>32592</v>
      </c>
      <c r="O15" s="33">
        <f>O75*Assumptions!$C$69+IF(O$6=1,0,INDEX($D$75:$P$75,1,O$6-1)*(1-Assumptions!$C$69))</f>
        <v>0</v>
      </c>
      <c r="P15" s="33">
        <f>P75*Assumptions!$C$69+IF(P$6=1,0,INDEX($D$75:$P$75,1,P$6-1)*(1-Assumptions!$C$69))</f>
        <v>25608.000000000004</v>
      </c>
      <c r="Q15" s="33">
        <f t="shared" si="4"/>
        <v>100104</v>
      </c>
      <c r="R15" s="60">
        <f t="shared" si="5"/>
        <v>7700.3076923076924</v>
      </c>
    </row>
    <row r="16" spans="2:18" ht="15" customHeight="1" x14ac:dyDescent="0.35">
      <c r="B16" s="25" t="s">
        <v>257</v>
      </c>
      <c r="C16" s="59" t="s">
        <v>258</v>
      </c>
      <c r="D16" s="33">
        <f>IF(D$6&lt;=Assumptions!$C$70,Assumptions!$C$74/Assumptions!$C$70,INDEX($D$76:$P$76,1,D$6-Assumptions!$C$70)*(1-Assumptions!$C$42))</f>
        <v>5495</v>
      </c>
      <c r="E16" s="33">
        <f>IF(E$6&lt;=Assumptions!$C$70,Assumptions!$C$74/Assumptions!$C$70,INDEX($D$76:$P$76,1,E$6-Assumptions!$C$70)*(1-Assumptions!$C$42))</f>
        <v>5495</v>
      </c>
      <c r="F16" s="33">
        <f>IF(F$6&lt;=Assumptions!$C$70,Assumptions!$C$74/Assumptions!$C$70,INDEX($D$76:$P$76,1,F$6-Assumptions!$C$70)*(1-Assumptions!$C$42))</f>
        <v>5495</v>
      </c>
      <c r="G16" s="33">
        <f>IF(G$6&lt;=Assumptions!$C$70,Assumptions!$C$74/Assumptions!$C$70,INDEX($D$76:$P$76,1,G$6-Assumptions!$C$70)*(1-Assumptions!$C$42))</f>
        <v>5495</v>
      </c>
      <c r="H16" s="33">
        <f>IF(H$6&lt;=Assumptions!$C$70,Assumptions!$C$74/Assumptions!$C$70,INDEX($D$76:$P$76,1,H$6-Assumptions!$C$70)*(1-Assumptions!$C$42))</f>
        <v>5275.2</v>
      </c>
      <c r="I16" s="33">
        <f>IF(I$6&lt;=Assumptions!$C$70,Assumptions!$C$74/Assumptions!$C$70,INDEX($D$76:$P$76,1,I$6-Assumptions!$C$70)*(1-Assumptions!$C$42))</f>
        <v>5495</v>
      </c>
      <c r="J16" s="33">
        <f>IF(J$6&lt;=Assumptions!$C$70,Assumptions!$C$74/Assumptions!$C$70,INDEX($D$76:$P$76,1,J$6-Assumptions!$C$70)*(1-Assumptions!$C$42))</f>
        <v>5220.25</v>
      </c>
      <c r="K16" s="33">
        <f>IF(K$6&lt;=Assumptions!$C$70,Assumptions!$C$74/Assumptions!$C$70,INDEX($D$76:$P$76,1,K$6-Assumptions!$C$70)*(1-Assumptions!$C$42))</f>
        <v>5165.2999999999993</v>
      </c>
      <c r="L16" s="33">
        <f>IF(L$6&lt;=Assumptions!$C$70,Assumptions!$C$74/Assumptions!$C$70,INDEX($D$76:$P$76,1,L$6-Assumptions!$C$70)*(1-Assumptions!$C$42))</f>
        <v>5330.15</v>
      </c>
      <c r="M16" s="33">
        <f>IF(M$6&lt;=Assumptions!$C$70,Assumptions!$C$74/Assumptions!$C$70,INDEX($D$76:$P$76,1,M$6-Assumptions!$C$70)*(1-Assumptions!$C$42))</f>
        <v>5495</v>
      </c>
      <c r="N16" s="33">
        <f>IF(N$6&lt;=Assumptions!$C$70,Assumptions!$C$74/Assumptions!$C$70,INDEX($D$76:$P$76,1,N$6-Assumptions!$C$70)*(1-Assumptions!$C$42))</f>
        <v>5604.9</v>
      </c>
      <c r="O16" s="33">
        <f>IF(O$6&lt;=Assumptions!$C$70,Assumptions!$C$74/Assumptions!$C$70,INDEX($D$76:$P$76,1,O$6-Assumptions!$C$70)*(1-Assumptions!$C$42))</f>
        <v>5659.8499999999995</v>
      </c>
      <c r="P16" s="33">
        <f>IF(P$6&lt;=Assumptions!$C$70,Assumptions!$C$74/Assumptions!$C$70,INDEX($D$76:$P$76,1,P$6-Assumptions!$C$70)*(1-Assumptions!$C$42))</f>
        <v>5549.95</v>
      </c>
      <c r="Q16" s="33">
        <f t="shared" si="4"/>
        <v>70775.600000000006</v>
      </c>
      <c r="R16" s="60">
        <f t="shared" si="5"/>
        <v>5444.2769230769236</v>
      </c>
    </row>
    <row r="17" spans="2:18" ht="15" customHeight="1" x14ac:dyDescent="0.35">
      <c r="B17" s="25" t="s">
        <v>259</v>
      </c>
      <c r="C17" s="59" t="s">
        <v>260</v>
      </c>
      <c r="D17" s="33">
        <f>IF(D$6=Assumptions!$C$125,Assumptions!$C$124,0)</f>
        <v>0</v>
      </c>
      <c r="E17" s="33">
        <f>IF(E$6=Assumptions!$C$125,Assumptions!$C$124,0)</f>
        <v>0</v>
      </c>
      <c r="F17" s="33">
        <f>IF(F$6=Assumptions!$C$125,Assumptions!$C$124,0)</f>
        <v>0</v>
      </c>
      <c r="G17" s="33">
        <f>IF(G$6=Assumptions!$C$125,Assumptions!$C$124,0)</f>
        <v>0</v>
      </c>
      <c r="H17" s="33">
        <f>IF(H$6=Assumptions!$C$125,Assumptions!$C$124,0)</f>
        <v>0</v>
      </c>
      <c r="I17" s="33">
        <f>IF(I$6=Assumptions!$C$125,Assumptions!$C$124,0)</f>
        <v>0</v>
      </c>
      <c r="J17" s="33">
        <f>IF(J$6=Assumptions!$C$125,Assumptions!$C$124,0)</f>
        <v>0</v>
      </c>
      <c r="K17" s="33">
        <f>IF(K$6=Assumptions!$C$125,Assumptions!$C$124,0)</f>
        <v>0</v>
      </c>
      <c r="L17" s="33">
        <f>IF(L$6=Assumptions!$C$125,Assumptions!$C$124,0)</f>
        <v>0</v>
      </c>
      <c r="M17" s="33">
        <f>IF(M$6=Assumptions!$C$125,Assumptions!$C$124,0)</f>
        <v>0</v>
      </c>
      <c r="N17" s="33">
        <f>IF(N$6=Assumptions!$C$125,Assumptions!$C$124,0)</f>
        <v>0</v>
      </c>
      <c r="O17" s="33">
        <f>IF(O$6=Assumptions!$C$125,Assumptions!$C$124,0)</f>
        <v>0</v>
      </c>
      <c r="P17" s="33">
        <f>IF(P$6=Assumptions!$C$125,Assumptions!$C$124,0)</f>
        <v>0</v>
      </c>
      <c r="Q17" s="33">
        <f t="shared" si="4"/>
        <v>0</v>
      </c>
      <c r="R17" s="60">
        <f t="shared" si="5"/>
        <v>0</v>
      </c>
    </row>
    <row r="18" spans="2:18" ht="16.5" customHeight="1" x14ac:dyDescent="0.35">
      <c r="B18" s="56" t="s">
        <v>261</v>
      </c>
      <c r="C18" s="61"/>
      <c r="D18" s="58">
        <f t="shared" ref="D18:P18" si="6">SUM(D13:D17)</f>
        <v>44708.887999999999</v>
      </c>
      <c r="E18" s="58">
        <f t="shared" si="6"/>
        <v>71564.387199999997</v>
      </c>
      <c r="F18" s="58">
        <f t="shared" si="6"/>
        <v>44283.349600000001</v>
      </c>
      <c r="G18" s="58">
        <f t="shared" si="6"/>
        <v>43213.671199999997</v>
      </c>
      <c r="H18" s="58">
        <f t="shared" si="6"/>
        <v>44190.703199999996</v>
      </c>
      <c r="I18" s="58">
        <f t="shared" si="6"/>
        <v>45837.657599999999</v>
      </c>
      <c r="J18" s="58">
        <f t="shared" si="6"/>
        <v>65238.173200000005</v>
      </c>
      <c r="K18" s="58">
        <f t="shared" si="6"/>
        <v>47387.328800000003</v>
      </c>
      <c r="L18" s="58">
        <f t="shared" si="6"/>
        <v>46761.912400000001</v>
      </c>
      <c r="M18" s="58">
        <f t="shared" si="6"/>
        <v>48260.911999999997</v>
      </c>
      <c r="N18" s="58">
        <f t="shared" si="6"/>
        <v>82395.863199999993</v>
      </c>
      <c r="O18" s="58">
        <f t="shared" si="6"/>
        <v>51285.967599999996</v>
      </c>
      <c r="P18" s="58">
        <f t="shared" si="6"/>
        <v>78560.667600000001</v>
      </c>
      <c r="Q18" s="58">
        <f t="shared" si="4"/>
        <v>713689.48160000006</v>
      </c>
      <c r="R18" s="58">
        <f t="shared" si="5"/>
        <v>54899.190892307699</v>
      </c>
    </row>
    <row r="19" spans="2:18" ht="6" customHeight="1" x14ac:dyDescent="0.35">
      <c r="B19" s="3"/>
      <c r="C19" s="3"/>
      <c r="D19" s="3"/>
      <c r="E19" s="3"/>
      <c r="F19" s="3"/>
      <c r="G19" s="3"/>
      <c r="H19" s="3"/>
      <c r="I19" s="3"/>
      <c r="J19" s="3"/>
      <c r="K19" s="3"/>
      <c r="L19" s="3"/>
      <c r="M19" s="3"/>
      <c r="N19" s="3"/>
      <c r="O19" s="3"/>
      <c r="P19" s="3"/>
      <c r="Q19" s="3"/>
      <c r="R19" s="3"/>
    </row>
    <row r="20" spans="2:18" ht="18" customHeight="1" x14ac:dyDescent="0.35">
      <c r="B20" s="12" t="s">
        <v>262</v>
      </c>
      <c r="C20" s="12"/>
      <c r="D20" s="12"/>
      <c r="E20" s="12"/>
      <c r="F20" s="12"/>
      <c r="G20" s="12"/>
      <c r="H20" s="12"/>
      <c r="I20" s="12"/>
      <c r="J20" s="12"/>
      <c r="K20" s="12"/>
      <c r="L20" s="12"/>
      <c r="M20" s="12"/>
      <c r="N20" s="12"/>
      <c r="O20" s="12"/>
      <c r="P20" s="12"/>
      <c r="Q20" s="12"/>
      <c r="R20" s="12"/>
    </row>
    <row r="21" spans="2:18" ht="15" customHeight="1" x14ac:dyDescent="0.35">
      <c r="B21" s="25" t="s">
        <v>263</v>
      </c>
      <c r="C21" s="59" t="s">
        <v>264</v>
      </c>
      <c r="D21" s="33">
        <f t="shared" ref="D21:P21" si="7">D89</f>
        <v>11016.170840000001</v>
      </c>
      <c r="E21" s="33">
        <f t="shared" si="7"/>
        <v>70954.325215999997</v>
      </c>
      <c r="F21" s="33">
        <f t="shared" si="7"/>
        <v>10808.488383999998</v>
      </c>
      <c r="G21" s="33">
        <f t="shared" si="7"/>
        <v>10647.28968</v>
      </c>
      <c r="H21" s="33">
        <f t="shared" si="7"/>
        <v>57041.453735999996</v>
      </c>
      <c r="I21" s="33">
        <f t="shared" si="7"/>
        <v>11432.082343999999</v>
      </c>
      <c r="J21" s="33">
        <f t="shared" si="7"/>
        <v>15596.687199999998</v>
      </c>
      <c r="K21" s="33">
        <f t="shared" si="7"/>
        <v>93919.213904000004</v>
      </c>
      <c r="L21" s="33">
        <f t="shared" si="7"/>
        <v>11646.835696</v>
      </c>
      <c r="M21" s="33">
        <f t="shared" si="7"/>
        <v>12102.160055999999</v>
      </c>
      <c r="N21" s="33">
        <f t="shared" si="7"/>
        <v>72301.533712000004</v>
      </c>
      <c r="O21" s="33">
        <f t="shared" si="7"/>
        <v>12868.740719999998</v>
      </c>
      <c r="P21" s="33">
        <f t="shared" si="7"/>
        <v>18688.146127999997</v>
      </c>
      <c r="Q21" s="33">
        <f t="shared" ref="Q21:Q36" si="8">SUM(D21:P21)</f>
        <v>409023.12761600001</v>
      </c>
      <c r="R21" s="60">
        <f t="shared" ref="R21:R36" si="9">AVERAGE(D21:P21)</f>
        <v>31463.317508923079</v>
      </c>
    </row>
    <row r="22" spans="2:18" ht="15" customHeight="1" x14ac:dyDescent="0.35">
      <c r="B22" s="25" t="s">
        <v>265</v>
      </c>
      <c r="C22" s="59" t="s">
        <v>161</v>
      </c>
      <c r="D22" s="33">
        <f>Assumptions!$C$47*D70</f>
        <v>0</v>
      </c>
      <c r="E22" s="33">
        <f>Assumptions!$C$47*E70</f>
        <v>0</v>
      </c>
      <c r="F22" s="33">
        <f>Assumptions!$C$47*F70</f>
        <v>0</v>
      </c>
      <c r="G22" s="33">
        <f>Assumptions!$C$47*G70</f>
        <v>0</v>
      </c>
      <c r="H22" s="33">
        <f>Assumptions!$C$47*H70</f>
        <v>18500</v>
      </c>
      <c r="I22" s="33">
        <f>Assumptions!$C$47*I70</f>
        <v>0</v>
      </c>
      <c r="J22" s="33">
        <f>Assumptions!$C$47*J70</f>
        <v>0</v>
      </c>
      <c r="K22" s="33">
        <f>Assumptions!$C$47*K70</f>
        <v>0</v>
      </c>
      <c r="L22" s="33">
        <f>Assumptions!$C$47*L70</f>
        <v>18500</v>
      </c>
      <c r="M22" s="33">
        <f>Assumptions!$C$47*M70</f>
        <v>0</v>
      </c>
      <c r="N22" s="33">
        <f>Assumptions!$C$47*N70</f>
        <v>0</v>
      </c>
      <c r="O22" s="33">
        <f>Assumptions!$C$47*O70</f>
        <v>0</v>
      </c>
      <c r="P22" s="33">
        <f>Assumptions!$C$47*P70</f>
        <v>18500</v>
      </c>
      <c r="Q22" s="33">
        <f t="shared" si="8"/>
        <v>55500</v>
      </c>
      <c r="R22" s="60">
        <f t="shared" si="9"/>
        <v>4269.2307692307695</v>
      </c>
    </row>
    <row r="23" spans="2:18" ht="15" customHeight="1" x14ac:dyDescent="0.35">
      <c r="B23" s="25" t="s">
        <v>266</v>
      </c>
      <c r="C23" s="59" t="s">
        <v>161</v>
      </c>
      <c r="D23" s="33">
        <f>Assumptions!$C$92*D70</f>
        <v>0</v>
      </c>
      <c r="E23" s="33">
        <f>Assumptions!$C$92*E70</f>
        <v>0</v>
      </c>
      <c r="F23" s="33">
        <f>Assumptions!$C$92*F70</f>
        <v>0</v>
      </c>
      <c r="G23" s="33">
        <f>Assumptions!$C$92*G70</f>
        <v>0</v>
      </c>
      <c r="H23" s="33">
        <f>Assumptions!$C$92*H70</f>
        <v>26200</v>
      </c>
      <c r="I23" s="33">
        <f>Assumptions!$C$92*I70</f>
        <v>0</v>
      </c>
      <c r="J23" s="33">
        <f>Assumptions!$C$92*J70</f>
        <v>0</v>
      </c>
      <c r="K23" s="33">
        <f>Assumptions!$C$92*K70</f>
        <v>0</v>
      </c>
      <c r="L23" s="33">
        <f>Assumptions!$C$92*L70</f>
        <v>26200</v>
      </c>
      <c r="M23" s="33">
        <f>Assumptions!$C$92*M70</f>
        <v>0</v>
      </c>
      <c r="N23" s="33">
        <f>Assumptions!$C$92*N70</f>
        <v>0</v>
      </c>
      <c r="O23" s="33">
        <f>Assumptions!$C$92*O70</f>
        <v>0</v>
      </c>
      <c r="P23" s="33">
        <f>Assumptions!$C$92*P70</f>
        <v>26200</v>
      </c>
      <c r="Q23" s="33">
        <f t="shared" si="8"/>
        <v>78600</v>
      </c>
      <c r="R23" s="60">
        <f t="shared" si="9"/>
        <v>6046.1538461538457</v>
      </c>
    </row>
    <row r="24" spans="2:18" ht="15" customHeight="1" x14ac:dyDescent="0.35">
      <c r="B24" s="25" t="s">
        <v>267</v>
      </c>
      <c r="C24" s="59" t="s">
        <v>268</v>
      </c>
      <c r="D24" s="33">
        <f>Assumptions!$C$46*D65</f>
        <v>0</v>
      </c>
      <c r="E24" s="33">
        <f>Assumptions!$C$46*E65</f>
        <v>0</v>
      </c>
      <c r="F24" s="33">
        <f>Assumptions!$C$46*F65</f>
        <v>0</v>
      </c>
      <c r="G24" s="33">
        <f>Assumptions!$C$46*G65</f>
        <v>0</v>
      </c>
      <c r="H24" s="33">
        <f>Assumptions!$C$46*H65</f>
        <v>22000</v>
      </c>
      <c r="I24" s="33">
        <f>Assumptions!$C$46*I65</f>
        <v>0</v>
      </c>
      <c r="J24" s="33">
        <f>Assumptions!$C$46*J65</f>
        <v>0</v>
      </c>
      <c r="K24" s="33">
        <f>Assumptions!$C$46*K65</f>
        <v>0</v>
      </c>
      <c r="L24" s="33">
        <f>Assumptions!$C$46*L65</f>
        <v>22000</v>
      </c>
      <c r="M24" s="33">
        <f>Assumptions!$C$46*M65</f>
        <v>0</v>
      </c>
      <c r="N24" s="33">
        <f>Assumptions!$C$46*N65</f>
        <v>0</v>
      </c>
      <c r="O24" s="33">
        <f>Assumptions!$C$46*O65</f>
        <v>0</v>
      </c>
      <c r="P24" s="33">
        <f>Assumptions!$C$46*P65</f>
        <v>22000</v>
      </c>
      <c r="Q24" s="33">
        <f t="shared" si="8"/>
        <v>66000</v>
      </c>
      <c r="R24" s="60">
        <f t="shared" si="9"/>
        <v>5076.9230769230771</v>
      </c>
    </row>
    <row r="25" spans="2:18" ht="15" customHeight="1" x14ac:dyDescent="0.35">
      <c r="B25" s="25" t="s">
        <v>269</v>
      </c>
      <c r="C25" s="59" t="s">
        <v>270</v>
      </c>
      <c r="D25" s="33">
        <f>D74*Assumptions!$C$40+Assumptions!$C$62*D67</f>
        <v>1882.1880000000001</v>
      </c>
      <c r="E25" s="33">
        <f>E74*Assumptions!$C$40+Assumptions!$C$62*E67</f>
        <v>6537.42</v>
      </c>
      <c r="F25" s="33">
        <f>F74*Assumptions!$C$40+Assumptions!$C$62*F67</f>
        <v>1862.7839999999999</v>
      </c>
      <c r="G25" s="33">
        <f>G74*Assumptions!$C$40+Assumptions!$C$62*G67</f>
        <v>1843.3799999999999</v>
      </c>
      <c r="H25" s="33">
        <f>H74*Assumptions!$C$40+Assumptions!$C$62*H67</f>
        <v>1920.9960000000001</v>
      </c>
      <c r="I25" s="33">
        <f>I74*Assumptions!$C$40+Assumptions!$C$62*I67</f>
        <v>6479.2080000000005</v>
      </c>
      <c r="J25" s="33">
        <f>J74*Assumptions!$C$40+Assumptions!$C$62*J67</f>
        <v>2018.0160000000001</v>
      </c>
      <c r="K25" s="33">
        <f>K74*Assumptions!$C$40+Assumptions!$C$62*K67</f>
        <v>2056.8239999999996</v>
      </c>
      <c r="L25" s="33">
        <f>L74*Assumptions!$C$40+Assumptions!$C$62*L67</f>
        <v>2037.4199999999998</v>
      </c>
      <c r="M25" s="33">
        <f>M74*Assumptions!$C$40+Assumptions!$C$62*M67</f>
        <v>6595.6319999999996</v>
      </c>
      <c r="N25" s="33">
        <f>N74*Assumptions!$C$40+Assumptions!$C$62*N67</f>
        <v>2173.2480000000005</v>
      </c>
      <c r="O25" s="33">
        <f>O74*Assumptions!$C$40+Assumptions!$C$62*O67</f>
        <v>2231.4599999999996</v>
      </c>
      <c r="P25" s="33">
        <f>P74*Assumptions!$C$40+Assumptions!$C$62*P67</f>
        <v>2328.48</v>
      </c>
      <c r="Q25" s="33">
        <f t="shared" si="8"/>
        <v>39967.056000000004</v>
      </c>
      <c r="R25" s="60">
        <f t="shared" si="9"/>
        <v>3074.3889230769232</v>
      </c>
    </row>
    <row r="26" spans="2:18" ht="15" customHeight="1" x14ac:dyDescent="0.35">
      <c r="B26" s="25" t="s">
        <v>271</v>
      </c>
      <c r="C26" s="59" t="s">
        <v>272</v>
      </c>
      <c r="D26" s="33">
        <f>D74*Assumptions!$C$39+D76*Assumptions!$C$43</f>
        <v>1472.3980000000001</v>
      </c>
      <c r="E26" s="33">
        <f>E74*Assumptions!$C$39+E76*Assumptions!$C$43</f>
        <v>1589.22</v>
      </c>
      <c r="F26" s="33">
        <f>F74*Assumptions!$C$39+F76*Assumptions!$C$43</f>
        <v>1457.2065</v>
      </c>
      <c r="G26" s="33">
        <f>G74*Assumptions!$C$39+G76*Assumptions!$C$43</f>
        <v>1442.0150000000001</v>
      </c>
      <c r="H26" s="33">
        <f>H74*Assumptions!$C$39+H76*Assumptions!$C$43</f>
        <v>1501.6035000000002</v>
      </c>
      <c r="I26" s="33">
        <f>I74*Assumptions!$C$39+I76*Assumptions!$C$43</f>
        <v>1547.1780000000001</v>
      </c>
      <c r="J26" s="33">
        <f>J74*Assumptions!$C$39+J76*Assumptions!$C$43</f>
        <v>1577.5610000000001</v>
      </c>
      <c r="K26" s="33">
        <f>K74*Assumptions!$C$39+K76*Assumptions!$C$43</f>
        <v>1606.7665</v>
      </c>
      <c r="L26" s="33">
        <f>L74*Assumptions!$C$39+L76*Assumptions!$C$43</f>
        <v>1590.3975</v>
      </c>
      <c r="M26" s="33">
        <f>M74*Assumptions!$C$39+M76*Assumptions!$C$43</f>
        <v>1637.1495</v>
      </c>
      <c r="N26" s="33">
        <f>N74*Assumptions!$C$39+N76*Assumptions!$C$43</f>
        <v>1696.7380000000005</v>
      </c>
      <c r="O26" s="33">
        <f>O74*Assumptions!$C$39+O76*Assumptions!$C$43</f>
        <v>1741.135</v>
      </c>
      <c r="P26" s="33">
        <f>P74*Assumptions!$C$39+P76*Assumptions!$C$43</f>
        <v>1813.56</v>
      </c>
      <c r="Q26" s="33">
        <f t="shared" si="8"/>
        <v>20672.928500000002</v>
      </c>
      <c r="R26" s="60">
        <f t="shared" si="9"/>
        <v>1590.2252692307693</v>
      </c>
    </row>
    <row r="27" spans="2:18" ht="15" customHeight="1" x14ac:dyDescent="0.35">
      <c r="B27" s="25" t="s">
        <v>273</v>
      </c>
      <c r="C27" s="59" t="s">
        <v>272</v>
      </c>
      <c r="D27" s="33">
        <f>D73*Assumptions!$C$34+D74*Assumptions!$C$35+D75*Assumptions!$C$36</f>
        <v>932.78499999999985</v>
      </c>
      <c r="E27" s="33">
        <f>E73*Assumptions!$C$34+E74*Assumptions!$C$35+E75*Assumptions!$C$36</f>
        <v>1469.7760799999999</v>
      </c>
      <c r="F27" s="33">
        <f>F73*Assumptions!$C$34+F74*Assumptions!$C$35+F75*Assumptions!$C$36</f>
        <v>916.22831999999994</v>
      </c>
      <c r="G27" s="33">
        <f>G73*Assumptions!$C$34+G74*Assumptions!$C$35+G75*Assumptions!$C$36</f>
        <v>903.10640000000001</v>
      </c>
      <c r="H27" s="33">
        <f>H73*Assumptions!$C$34+H74*Assumptions!$C$35+H75*Assumptions!$C$36</f>
        <v>938.42028000000005</v>
      </c>
      <c r="I27" s="33">
        <f>I73*Assumptions!$C$34+I74*Assumptions!$C$35+I75*Assumptions!$C$36</f>
        <v>970.91651999999999</v>
      </c>
      <c r="J27" s="33">
        <f>J73*Assumptions!$C$34+J74*Assumptions!$C$35+J75*Assumptions!$C$36</f>
        <v>1347.5816</v>
      </c>
      <c r="K27" s="33">
        <f>K73*Assumptions!$C$34+K74*Assumptions!$C$35+K75*Assumptions!$C$36</f>
        <v>1013.09992</v>
      </c>
      <c r="L27" s="33">
        <f>L73*Assumptions!$C$34+L74*Assumptions!$C$35+L75*Assumptions!$C$36</f>
        <v>993.1084800000001</v>
      </c>
      <c r="M27" s="33">
        <f>M73*Assumptions!$C$34+M74*Assumptions!$C$35+M75*Assumptions!$C$36</f>
        <v>1029.0394799999999</v>
      </c>
      <c r="N27" s="33">
        <f>N73*Assumptions!$C$34+N74*Assumptions!$C$35+N75*Assumptions!$C$36</f>
        <v>1683.6013600000001</v>
      </c>
      <c r="O27" s="33">
        <f>O73*Assumptions!$C$34+O74*Assumptions!$C$35+O75*Assumptions!$C$36</f>
        <v>1096.8496</v>
      </c>
      <c r="P27" s="33">
        <f>P73*Assumptions!$C$34+P74*Assumptions!$C$35+P75*Assumptions!$C$36</f>
        <v>1628.40264</v>
      </c>
      <c r="Q27" s="33">
        <f t="shared" si="8"/>
        <v>14922.91568</v>
      </c>
      <c r="R27" s="60">
        <f t="shared" si="9"/>
        <v>1147.9165907692309</v>
      </c>
    </row>
    <row r="28" spans="2:18" ht="15" customHeight="1" x14ac:dyDescent="0.35">
      <c r="B28" s="25" t="s">
        <v>274</v>
      </c>
      <c r="C28" s="59" t="s">
        <v>275</v>
      </c>
      <c r="D28" s="33">
        <f>D75*Assumptions!$C$41</f>
        <v>0</v>
      </c>
      <c r="E28" s="33">
        <f>E75*Assumptions!$C$41</f>
        <v>4190.3999999999996</v>
      </c>
      <c r="F28" s="33">
        <f>F75*Assumptions!$C$41</f>
        <v>0</v>
      </c>
      <c r="G28" s="33">
        <f>G75*Assumptions!$C$41</f>
        <v>0</v>
      </c>
      <c r="H28" s="33">
        <f>H75*Assumptions!$C$41</f>
        <v>0</v>
      </c>
      <c r="I28" s="33">
        <f>I75*Assumptions!$C$41</f>
        <v>0</v>
      </c>
      <c r="J28" s="33">
        <f>J75*Assumptions!$C$41</f>
        <v>3352.3199999999997</v>
      </c>
      <c r="K28" s="33">
        <f>K75*Assumptions!$C$41</f>
        <v>0</v>
      </c>
      <c r="L28" s="33">
        <f>L75*Assumptions!$C$41</f>
        <v>0</v>
      </c>
      <c r="M28" s="33">
        <f>M75*Assumptions!$C$41</f>
        <v>0</v>
      </c>
      <c r="N28" s="33">
        <f>N75*Assumptions!$C$41</f>
        <v>5866.5599999999995</v>
      </c>
      <c r="O28" s="33">
        <f>O75*Assumptions!$C$41</f>
        <v>0</v>
      </c>
      <c r="P28" s="33">
        <f>P75*Assumptions!$C$41</f>
        <v>4609.4400000000005</v>
      </c>
      <c r="Q28" s="33">
        <f t="shared" si="8"/>
        <v>18018.72</v>
      </c>
      <c r="R28" s="60">
        <f t="shared" si="9"/>
        <v>1386.0553846153848</v>
      </c>
    </row>
    <row r="29" spans="2:18" ht="15" customHeight="1" x14ac:dyDescent="0.35">
      <c r="B29" s="25" t="s">
        <v>276</v>
      </c>
      <c r="C29" s="59" t="s">
        <v>277</v>
      </c>
      <c r="D29" s="33">
        <f>D73*Assumptions!$C$37</f>
        <v>543.83699999999988</v>
      </c>
      <c r="E29" s="33">
        <f>E73*Assumptions!$C$37</f>
        <v>618.25679999999988</v>
      </c>
      <c r="F29" s="33">
        <f>F73*Assumptions!$C$37</f>
        <v>526.66319999999996</v>
      </c>
      <c r="G29" s="33">
        <f>G73*Assumptions!$C$37</f>
        <v>515.21399999999994</v>
      </c>
      <c r="H29" s="33">
        <f>H73*Assumptions!$C$37</f>
        <v>532.38779999999997</v>
      </c>
      <c r="I29" s="33">
        <f>I73*Assumptions!$C$37</f>
        <v>555.28619999999989</v>
      </c>
      <c r="J29" s="33">
        <f>J73*Assumptions!$C$37</f>
        <v>572.45999999999992</v>
      </c>
      <c r="K29" s="33">
        <f>K73*Assumptions!$C$37</f>
        <v>583.90919999999994</v>
      </c>
      <c r="L29" s="33">
        <f>L73*Assumptions!$C$37</f>
        <v>561.01080000000002</v>
      </c>
      <c r="M29" s="33">
        <f>M73*Assumptions!$C$37</f>
        <v>589.63379999999995</v>
      </c>
      <c r="N29" s="33">
        <f>N73*Assumptions!$C$37</f>
        <v>606.80759999999998</v>
      </c>
      <c r="O29" s="33">
        <f>O73*Assumptions!$C$37</f>
        <v>629.7059999999999</v>
      </c>
      <c r="P29" s="33">
        <f>P73*Assumptions!$C$37</f>
        <v>652.60439999999983</v>
      </c>
      <c r="Q29" s="33">
        <f t="shared" si="8"/>
        <v>7487.7767999999996</v>
      </c>
      <c r="R29" s="60">
        <f t="shared" si="9"/>
        <v>575.98283076923076</v>
      </c>
    </row>
    <row r="30" spans="2:18" ht="15" customHeight="1" x14ac:dyDescent="0.35">
      <c r="B30" s="25" t="s">
        <v>278</v>
      </c>
      <c r="C30" s="59" t="s">
        <v>279</v>
      </c>
      <c r="D30" s="33">
        <f>Assumptions!$C$48*D68</f>
        <v>0</v>
      </c>
      <c r="E30" s="33">
        <f>Assumptions!$C$48*E68</f>
        <v>2600</v>
      </c>
      <c r="F30" s="33">
        <f>Assumptions!$C$48*F68</f>
        <v>0</v>
      </c>
      <c r="G30" s="33">
        <f>Assumptions!$C$48*G68</f>
        <v>0</v>
      </c>
      <c r="H30" s="33">
        <f>Assumptions!$C$48*H68</f>
        <v>0</v>
      </c>
      <c r="I30" s="33">
        <f>Assumptions!$C$48*I68</f>
        <v>0</v>
      </c>
      <c r="J30" s="33">
        <f>Assumptions!$C$48*J68</f>
        <v>2600</v>
      </c>
      <c r="K30" s="33">
        <f>Assumptions!$C$48*K68</f>
        <v>0</v>
      </c>
      <c r="L30" s="33">
        <f>Assumptions!$C$48*L68</f>
        <v>0</v>
      </c>
      <c r="M30" s="33">
        <f>Assumptions!$C$48*M68</f>
        <v>0</v>
      </c>
      <c r="N30" s="33">
        <f>Assumptions!$C$48*N68</f>
        <v>2600</v>
      </c>
      <c r="O30" s="33">
        <f>Assumptions!$C$48*O68</f>
        <v>0</v>
      </c>
      <c r="P30" s="33">
        <f>Assumptions!$C$48*P68</f>
        <v>0</v>
      </c>
      <c r="Q30" s="33">
        <f t="shared" si="8"/>
        <v>7800</v>
      </c>
      <c r="R30" s="60">
        <f t="shared" si="9"/>
        <v>600</v>
      </c>
    </row>
    <row r="31" spans="2:18" ht="15" customHeight="1" x14ac:dyDescent="0.35">
      <c r="B31" s="25" t="s">
        <v>280</v>
      </c>
      <c r="C31" s="59" t="s">
        <v>281</v>
      </c>
      <c r="D31" s="33">
        <f>Assumptions!$C$93*D67</f>
        <v>0</v>
      </c>
      <c r="E31" s="33">
        <f>Assumptions!$C$93*E67</f>
        <v>2450</v>
      </c>
      <c r="F31" s="33">
        <f>Assumptions!$C$93*F67</f>
        <v>0</v>
      </c>
      <c r="G31" s="33">
        <f>Assumptions!$C$93*G67</f>
        <v>0</v>
      </c>
      <c r="H31" s="33">
        <f>Assumptions!$C$93*H67</f>
        <v>0</v>
      </c>
      <c r="I31" s="33">
        <f>Assumptions!$C$93*I67</f>
        <v>2450</v>
      </c>
      <c r="J31" s="33">
        <f>Assumptions!$C$93*J67</f>
        <v>0</v>
      </c>
      <c r="K31" s="33">
        <f>Assumptions!$C$93*K67</f>
        <v>0</v>
      </c>
      <c r="L31" s="33">
        <f>Assumptions!$C$93*L67</f>
        <v>0</v>
      </c>
      <c r="M31" s="33">
        <f>Assumptions!$C$93*M67</f>
        <v>2450</v>
      </c>
      <c r="N31" s="33">
        <f>Assumptions!$C$93*N67</f>
        <v>0</v>
      </c>
      <c r="O31" s="33">
        <f>Assumptions!$C$93*O67</f>
        <v>0</v>
      </c>
      <c r="P31" s="33">
        <f>Assumptions!$C$93*P67</f>
        <v>0</v>
      </c>
      <c r="Q31" s="33">
        <f t="shared" si="8"/>
        <v>7350</v>
      </c>
      <c r="R31" s="60">
        <f t="shared" si="9"/>
        <v>565.38461538461536</v>
      </c>
    </row>
    <row r="32" spans="2:18" ht="15" customHeight="1" x14ac:dyDescent="0.35">
      <c r="B32" s="25" t="s">
        <v>282</v>
      </c>
      <c r="C32" s="59" t="s">
        <v>283</v>
      </c>
      <c r="D32" s="33">
        <f>Assumptions!$C$60*D69</f>
        <v>0</v>
      </c>
      <c r="E32" s="33">
        <f>Assumptions!$C$60*E69</f>
        <v>0</v>
      </c>
      <c r="F32" s="33">
        <f>Assumptions!$C$60*F69</f>
        <v>1800</v>
      </c>
      <c r="G32" s="33">
        <f>Assumptions!$C$60*G69</f>
        <v>0</v>
      </c>
      <c r="H32" s="33">
        <f>Assumptions!$C$60*H69</f>
        <v>0</v>
      </c>
      <c r="I32" s="33">
        <f>Assumptions!$C$60*I69</f>
        <v>0</v>
      </c>
      <c r="J32" s="33">
        <f>Assumptions!$C$60*J69</f>
        <v>1800</v>
      </c>
      <c r="K32" s="33">
        <f>Assumptions!$C$60*K69</f>
        <v>0</v>
      </c>
      <c r="L32" s="33">
        <f>Assumptions!$C$60*L69</f>
        <v>0</v>
      </c>
      <c r="M32" s="33">
        <f>Assumptions!$C$60*M69</f>
        <v>0</v>
      </c>
      <c r="N32" s="33">
        <f>Assumptions!$C$60*N69</f>
        <v>0</v>
      </c>
      <c r="O32" s="33">
        <f>Assumptions!$C$60*O69</f>
        <v>1800</v>
      </c>
      <c r="P32" s="33">
        <f>Assumptions!$C$60*P69</f>
        <v>0</v>
      </c>
      <c r="Q32" s="33">
        <f t="shared" si="8"/>
        <v>5400</v>
      </c>
      <c r="R32" s="60">
        <f t="shared" si="9"/>
        <v>415.38461538461536</v>
      </c>
    </row>
    <row r="33" spans="2:18" ht="15" customHeight="1" x14ac:dyDescent="0.35">
      <c r="B33" s="25" t="s">
        <v>284</v>
      </c>
      <c r="C33" s="59" t="s">
        <v>285</v>
      </c>
      <c r="D33" s="33">
        <f>IF(D$6=Assumptions!$C$89,Assumptions!$C$88,0)</f>
        <v>0</v>
      </c>
      <c r="E33" s="33">
        <f>IF(E$6=Assumptions!$C$89,Assumptions!$C$88,0)</f>
        <v>0</v>
      </c>
      <c r="F33" s="33">
        <f>IF(F$6=Assumptions!$C$89,Assumptions!$C$88,0)</f>
        <v>0</v>
      </c>
      <c r="G33" s="33">
        <f>IF(G$6=Assumptions!$C$89,Assumptions!$C$88,0)</f>
        <v>0</v>
      </c>
      <c r="H33" s="33">
        <f>IF(H$6=Assumptions!$C$89,Assumptions!$C$88,0)</f>
        <v>0</v>
      </c>
      <c r="I33" s="33">
        <f>IF(I$6=Assumptions!$C$89,Assumptions!$C$88,0)</f>
        <v>0</v>
      </c>
      <c r="J33" s="33">
        <f>IF(J$6=Assumptions!$C$89,Assumptions!$C$88,0)</f>
        <v>0</v>
      </c>
      <c r="K33" s="33">
        <f>IF(K$6=Assumptions!$C$89,Assumptions!$C$88,0)</f>
        <v>0</v>
      </c>
      <c r="L33" s="33">
        <f>IF(L$6=Assumptions!$C$89,Assumptions!$C$88,0)</f>
        <v>26500</v>
      </c>
      <c r="M33" s="33">
        <f>IF(M$6=Assumptions!$C$89,Assumptions!$C$88,0)</f>
        <v>0</v>
      </c>
      <c r="N33" s="33">
        <f>IF(N$6=Assumptions!$C$89,Assumptions!$C$88,0)</f>
        <v>0</v>
      </c>
      <c r="O33" s="33">
        <f>IF(O$6=Assumptions!$C$89,Assumptions!$C$88,0)</f>
        <v>0</v>
      </c>
      <c r="P33" s="33">
        <f>IF(P$6=Assumptions!$C$89,Assumptions!$C$88,0)</f>
        <v>0</v>
      </c>
      <c r="Q33" s="33">
        <f t="shared" si="8"/>
        <v>26500</v>
      </c>
      <c r="R33" s="60">
        <f t="shared" si="9"/>
        <v>2038.4615384615386</v>
      </c>
    </row>
    <row r="34" spans="2:18" ht="15" customHeight="1" x14ac:dyDescent="0.35">
      <c r="B34" s="25" t="s">
        <v>286</v>
      </c>
      <c r="C34" s="59" t="s">
        <v>287</v>
      </c>
      <c r="D34" s="33">
        <f>Assumptions!$C$87*D66</f>
        <v>4200</v>
      </c>
      <c r="E34" s="33">
        <f>Assumptions!$C$87*E66</f>
        <v>0</v>
      </c>
      <c r="F34" s="33">
        <f>Assumptions!$C$87*F66</f>
        <v>0</v>
      </c>
      <c r="G34" s="33">
        <f>Assumptions!$C$87*G66</f>
        <v>0</v>
      </c>
      <c r="H34" s="33">
        <f>Assumptions!$C$87*H66</f>
        <v>4200</v>
      </c>
      <c r="I34" s="33">
        <f>Assumptions!$C$87*I66</f>
        <v>0</v>
      </c>
      <c r="J34" s="33">
        <f>Assumptions!$C$87*J66</f>
        <v>0</v>
      </c>
      <c r="K34" s="33">
        <f>Assumptions!$C$87*K66</f>
        <v>0</v>
      </c>
      <c r="L34" s="33">
        <f>Assumptions!$C$87*L66</f>
        <v>0</v>
      </c>
      <c r="M34" s="33">
        <f>Assumptions!$C$87*M66</f>
        <v>4200</v>
      </c>
      <c r="N34" s="33">
        <f>Assumptions!$C$87*N66</f>
        <v>0</v>
      </c>
      <c r="O34" s="33">
        <f>Assumptions!$C$87*O66</f>
        <v>0</v>
      </c>
      <c r="P34" s="33">
        <f>Assumptions!$C$87*P66</f>
        <v>0</v>
      </c>
      <c r="Q34" s="33">
        <f t="shared" si="8"/>
        <v>12600</v>
      </c>
      <c r="R34" s="60">
        <f t="shared" si="9"/>
        <v>969.23076923076928</v>
      </c>
    </row>
    <row r="35" spans="2:18" ht="15" customHeight="1" x14ac:dyDescent="0.35">
      <c r="B35" s="25" t="s">
        <v>288</v>
      </c>
      <c r="C35" s="59" t="s">
        <v>289</v>
      </c>
      <c r="D35" s="33">
        <f>Assumptions!$C$94*D65+D73*Assumptions!$C$38</f>
        <v>145.02319999999997</v>
      </c>
      <c r="E35" s="33">
        <f>Assumptions!$C$94*E65+E73*Assumptions!$C$38</f>
        <v>164.86847999999998</v>
      </c>
      <c r="F35" s="33">
        <f>Assumptions!$C$94*F65+F73*Assumptions!$C$38</f>
        <v>140.44352000000001</v>
      </c>
      <c r="G35" s="33">
        <f>Assumptions!$C$94*G65+G73*Assumptions!$C$38</f>
        <v>137.3904</v>
      </c>
      <c r="H35" s="33">
        <f>Assumptions!$C$94*H65+H73*Assumptions!$C$38</f>
        <v>2541.9700800000001</v>
      </c>
      <c r="I35" s="33">
        <f>Assumptions!$C$94*I65+I73*Assumptions!$C$38</f>
        <v>148.07631999999998</v>
      </c>
      <c r="J35" s="33">
        <f>Assumptions!$C$94*J65+J73*Assumptions!$C$38</f>
        <v>152.65600000000001</v>
      </c>
      <c r="K35" s="33">
        <f>Assumptions!$C$94*K65+K73*Assumptions!$C$38</f>
        <v>155.70911999999998</v>
      </c>
      <c r="L35" s="33">
        <f>Assumptions!$C$94*L65+L73*Assumptions!$C$38</f>
        <v>2549.6028799999999</v>
      </c>
      <c r="M35" s="33">
        <f>Assumptions!$C$94*M65+M73*Assumptions!$C$38</f>
        <v>157.23568</v>
      </c>
      <c r="N35" s="33">
        <f>Assumptions!$C$94*N65+N73*Assumptions!$C$38</f>
        <v>161.81536</v>
      </c>
      <c r="O35" s="33">
        <f>Assumptions!$C$94*O65+O73*Assumptions!$C$38</f>
        <v>167.92159999999998</v>
      </c>
      <c r="P35" s="33">
        <f>Assumptions!$C$94*P65+P73*Assumptions!$C$38</f>
        <v>2574.0278399999997</v>
      </c>
      <c r="Q35" s="33">
        <f t="shared" si="8"/>
        <v>9196.7404799999986</v>
      </c>
      <c r="R35" s="60">
        <f t="shared" si="9"/>
        <v>707.44157538461525</v>
      </c>
    </row>
    <row r="36" spans="2:18" ht="16.5" customHeight="1" x14ac:dyDescent="0.35">
      <c r="B36" s="56" t="s">
        <v>290</v>
      </c>
      <c r="C36" s="61"/>
      <c r="D36" s="58">
        <f t="shared" ref="D36:P36" si="10">SUM(D21:D35)</f>
        <v>20192.402040000001</v>
      </c>
      <c r="E36" s="58">
        <f t="shared" si="10"/>
        <v>90574.266575999995</v>
      </c>
      <c r="F36" s="58">
        <f t="shared" si="10"/>
        <v>17511.813923999998</v>
      </c>
      <c r="G36" s="58">
        <f t="shared" si="10"/>
        <v>15488.395479999999</v>
      </c>
      <c r="H36" s="58">
        <f t="shared" si="10"/>
        <v>135376.83139599999</v>
      </c>
      <c r="I36" s="58">
        <f t="shared" si="10"/>
        <v>23582.747383999998</v>
      </c>
      <c r="J36" s="58">
        <f t="shared" si="10"/>
        <v>29017.281800000001</v>
      </c>
      <c r="K36" s="58">
        <f t="shared" si="10"/>
        <v>99335.522643999982</v>
      </c>
      <c r="L36" s="58">
        <f t="shared" si="10"/>
        <v>112578.375356</v>
      </c>
      <c r="M36" s="58">
        <f t="shared" si="10"/>
        <v>28760.850515999999</v>
      </c>
      <c r="N36" s="58">
        <f t="shared" si="10"/>
        <v>87090.304032</v>
      </c>
      <c r="O36" s="58">
        <f t="shared" si="10"/>
        <v>20535.812919999997</v>
      </c>
      <c r="P36" s="58">
        <f t="shared" si="10"/>
        <v>98994.661007999981</v>
      </c>
      <c r="Q36" s="58">
        <f t="shared" si="8"/>
        <v>779039.26507599989</v>
      </c>
      <c r="R36" s="58">
        <f t="shared" si="9"/>
        <v>59926.097313538456</v>
      </c>
    </row>
    <row r="37" spans="2:18" ht="6" customHeight="1" x14ac:dyDescent="0.35">
      <c r="B37" s="3"/>
      <c r="C37" s="3"/>
      <c r="D37" s="3"/>
      <c r="E37" s="3"/>
      <c r="F37" s="3"/>
      <c r="G37" s="3"/>
      <c r="H37" s="3"/>
      <c r="I37" s="3"/>
      <c r="J37" s="3"/>
      <c r="K37" s="3"/>
      <c r="L37" s="3"/>
      <c r="M37" s="3"/>
      <c r="N37" s="3"/>
      <c r="O37" s="3"/>
      <c r="P37" s="3"/>
      <c r="Q37" s="3"/>
      <c r="R37" s="3"/>
    </row>
    <row r="38" spans="2:18" ht="18" customHeight="1" x14ac:dyDescent="0.35">
      <c r="B38" s="12" t="s">
        <v>291</v>
      </c>
      <c r="C38" s="12"/>
      <c r="D38" s="12"/>
      <c r="E38" s="12"/>
      <c r="F38" s="12"/>
      <c r="G38" s="12"/>
      <c r="H38" s="12"/>
      <c r="I38" s="12"/>
      <c r="J38" s="12"/>
      <c r="K38" s="12"/>
      <c r="L38" s="12"/>
      <c r="M38" s="12"/>
      <c r="N38" s="12"/>
      <c r="O38" s="12"/>
      <c r="P38" s="12"/>
      <c r="Q38" s="12"/>
      <c r="R38" s="12"/>
    </row>
    <row r="39" spans="2:18" ht="15.75" customHeight="1" x14ac:dyDescent="0.35">
      <c r="B39" s="62" t="s">
        <v>292</v>
      </c>
      <c r="C39" s="21"/>
      <c r="D39" s="63">
        <f t="shared" ref="D39:P39" si="11">D18-D36</f>
        <v>24516.485959999998</v>
      </c>
      <c r="E39" s="63">
        <f t="shared" si="11"/>
        <v>-19009.879375999997</v>
      </c>
      <c r="F39" s="63">
        <f t="shared" si="11"/>
        <v>26771.535676000003</v>
      </c>
      <c r="G39" s="63">
        <f t="shared" si="11"/>
        <v>27725.275719999998</v>
      </c>
      <c r="H39" s="63">
        <f t="shared" si="11"/>
        <v>-91186.128196000005</v>
      </c>
      <c r="I39" s="63">
        <f t="shared" si="11"/>
        <v>22254.910216</v>
      </c>
      <c r="J39" s="63">
        <f t="shared" si="11"/>
        <v>36220.891400000008</v>
      </c>
      <c r="K39" s="63">
        <f t="shared" si="11"/>
        <v>-51948.193843999979</v>
      </c>
      <c r="L39" s="63">
        <f t="shared" si="11"/>
        <v>-65816.462956000003</v>
      </c>
      <c r="M39" s="63">
        <f t="shared" si="11"/>
        <v>19500.061483999998</v>
      </c>
      <c r="N39" s="63">
        <f t="shared" si="11"/>
        <v>-4694.4408320000075</v>
      </c>
      <c r="O39" s="63">
        <f t="shared" si="11"/>
        <v>30750.15468</v>
      </c>
      <c r="P39" s="63">
        <f t="shared" si="11"/>
        <v>-20433.99340799998</v>
      </c>
      <c r="Q39" s="63">
        <f>SUM(D39:P39)</f>
        <v>-65349.783475999975</v>
      </c>
      <c r="R39" s="63">
        <f>AVERAGE(D39:P39)</f>
        <v>-5026.9064212307676</v>
      </c>
    </row>
    <row r="40" spans="2:18" ht="19.5" customHeight="1" x14ac:dyDescent="0.35">
      <c r="B40" s="64" t="s">
        <v>293</v>
      </c>
      <c r="C40" s="65"/>
      <c r="D40" s="66">
        <f t="shared" ref="D40:P40" si="12">D10+D39</f>
        <v>229516.48595999999</v>
      </c>
      <c r="E40" s="66">
        <f t="shared" si="12"/>
        <v>210506.60658399999</v>
      </c>
      <c r="F40" s="66">
        <f t="shared" si="12"/>
        <v>237278.14225999999</v>
      </c>
      <c r="G40" s="66">
        <f t="shared" si="12"/>
        <v>265003.41797999997</v>
      </c>
      <c r="H40" s="66">
        <f t="shared" si="12"/>
        <v>173817.28978399996</v>
      </c>
      <c r="I40" s="66">
        <f t="shared" si="12"/>
        <v>196072.19999999995</v>
      </c>
      <c r="J40" s="66">
        <f t="shared" si="12"/>
        <v>232293.09139999998</v>
      </c>
      <c r="K40" s="66">
        <f t="shared" si="12"/>
        <v>180344.89755599998</v>
      </c>
      <c r="L40" s="66">
        <f t="shared" si="12"/>
        <v>114528.43459999998</v>
      </c>
      <c r="M40" s="66">
        <f t="shared" si="12"/>
        <v>134028.49608399998</v>
      </c>
      <c r="N40" s="66">
        <f t="shared" si="12"/>
        <v>129334.05525199998</v>
      </c>
      <c r="O40" s="66">
        <f t="shared" si="12"/>
        <v>160084.20993199997</v>
      </c>
      <c r="P40" s="66">
        <f t="shared" si="12"/>
        <v>139650.21652399999</v>
      </c>
      <c r="Q40" s="67"/>
      <c r="R40" s="67"/>
    </row>
    <row r="41" spans="2:18" ht="15" customHeight="1" x14ac:dyDescent="0.35">
      <c r="B41" s="1" t="s">
        <v>294</v>
      </c>
      <c r="C41" s="21"/>
      <c r="D41" s="68">
        <f>Assumptions!$C$14</f>
        <v>120000</v>
      </c>
      <c r="E41" s="68">
        <f>Assumptions!$C$14</f>
        <v>120000</v>
      </c>
      <c r="F41" s="68">
        <f>Assumptions!$C$14</f>
        <v>120000</v>
      </c>
      <c r="G41" s="68">
        <f>Assumptions!$C$14</f>
        <v>120000</v>
      </c>
      <c r="H41" s="68">
        <f>Assumptions!$C$14</f>
        <v>120000</v>
      </c>
      <c r="I41" s="68">
        <f>Assumptions!$C$14</f>
        <v>120000</v>
      </c>
      <c r="J41" s="68">
        <f>Assumptions!$C$14</f>
        <v>120000</v>
      </c>
      <c r="K41" s="68">
        <f>Assumptions!$C$14</f>
        <v>120000</v>
      </c>
      <c r="L41" s="68">
        <f>Assumptions!$C$14</f>
        <v>120000</v>
      </c>
      <c r="M41" s="68">
        <f>Assumptions!$C$14</f>
        <v>120000</v>
      </c>
      <c r="N41" s="68">
        <f>Assumptions!$C$14</f>
        <v>120000</v>
      </c>
      <c r="O41" s="68">
        <f>Assumptions!$C$14</f>
        <v>120000</v>
      </c>
      <c r="P41" s="68">
        <f>Assumptions!$C$14</f>
        <v>120000</v>
      </c>
      <c r="Q41" s="3"/>
      <c r="R41" s="3"/>
    </row>
    <row r="42" spans="2:18" ht="15.75" customHeight="1" x14ac:dyDescent="0.35">
      <c r="B42" s="62" t="s">
        <v>295</v>
      </c>
      <c r="C42" s="21"/>
      <c r="D42" s="63">
        <f t="shared" ref="D42:P42" si="13">D40-D41</f>
        <v>109516.48595999999</v>
      </c>
      <c r="E42" s="63">
        <f t="shared" si="13"/>
        <v>90506.606583999994</v>
      </c>
      <c r="F42" s="63">
        <f t="shared" si="13"/>
        <v>117278.14225999999</v>
      </c>
      <c r="G42" s="63">
        <f t="shared" si="13"/>
        <v>145003.41797999997</v>
      </c>
      <c r="H42" s="63">
        <f t="shared" si="13"/>
        <v>53817.289783999964</v>
      </c>
      <c r="I42" s="63">
        <f t="shared" si="13"/>
        <v>76072.199999999953</v>
      </c>
      <c r="J42" s="63">
        <f t="shared" si="13"/>
        <v>112293.09139999998</v>
      </c>
      <c r="K42" s="63">
        <f t="shared" si="13"/>
        <v>60344.897555999982</v>
      </c>
      <c r="L42" s="63">
        <f t="shared" si="13"/>
        <v>-5471.5654000000213</v>
      </c>
      <c r="M42" s="63">
        <f t="shared" si="13"/>
        <v>14028.496083999984</v>
      </c>
      <c r="N42" s="63">
        <f t="shared" si="13"/>
        <v>9334.0552519999765</v>
      </c>
      <c r="O42" s="63">
        <f t="shared" si="13"/>
        <v>40084.209931999969</v>
      </c>
      <c r="P42" s="63">
        <f t="shared" si="13"/>
        <v>19650.216523999989</v>
      </c>
      <c r="Q42" s="3"/>
      <c r="R42" s="3"/>
    </row>
    <row r="43" spans="2:18" ht="6" customHeight="1" x14ac:dyDescent="0.35">
      <c r="B43" s="3"/>
      <c r="C43" s="3"/>
      <c r="D43" s="3"/>
      <c r="E43" s="3"/>
      <c r="F43" s="3"/>
      <c r="G43" s="3"/>
      <c r="H43" s="3"/>
      <c r="I43" s="3"/>
      <c r="J43" s="3"/>
      <c r="K43" s="3"/>
      <c r="L43" s="3"/>
      <c r="M43" s="3"/>
      <c r="N43" s="3"/>
      <c r="O43" s="3"/>
      <c r="P43" s="3"/>
      <c r="Q43" s="3"/>
      <c r="R43" s="3"/>
    </row>
    <row r="44" spans="2:18" ht="18" customHeight="1" x14ac:dyDescent="0.35">
      <c r="B44" s="12" t="s">
        <v>296</v>
      </c>
      <c r="C44" s="12"/>
      <c r="D44" s="12"/>
      <c r="E44" s="12"/>
      <c r="F44" s="12"/>
      <c r="G44" s="12"/>
      <c r="H44" s="12"/>
      <c r="I44" s="12"/>
      <c r="J44" s="12"/>
      <c r="K44" s="12"/>
      <c r="L44" s="12"/>
      <c r="M44" s="12"/>
      <c r="N44" s="12"/>
      <c r="O44" s="12"/>
      <c r="P44" s="12"/>
      <c r="Q44" s="12"/>
      <c r="R44" s="12"/>
    </row>
    <row r="45" spans="2:18" ht="15" customHeight="1" x14ac:dyDescent="0.35">
      <c r="B45" s="25" t="s">
        <v>297</v>
      </c>
      <c r="C45" s="3"/>
      <c r="D45" s="69">
        <f>D10</f>
        <v>205000</v>
      </c>
      <c r="E45" s="3"/>
      <c r="F45" s="21" t="s">
        <v>298</v>
      </c>
      <c r="G45" s="3"/>
      <c r="H45" s="3"/>
      <c r="I45" s="3"/>
      <c r="J45" s="3"/>
      <c r="K45" s="3"/>
      <c r="L45" s="3"/>
      <c r="M45" s="3"/>
      <c r="N45" s="3"/>
      <c r="O45" s="3"/>
      <c r="P45" s="3"/>
      <c r="Q45" s="3"/>
      <c r="R45" s="3"/>
    </row>
    <row r="46" spans="2:18" ht="15" customHeight="1" x14ac:dyDescent="0.35">
      <c r="B46" s="13" t="s">
        <v>299</v>
      </c>
      <c r="C46" s="3"/>
      <c r="D46" s="70">
        <f>P40</f>
        <v>139650.21652399999</v>
      </c>
      <c r="E46" s="3"/>
      <c r="F46" s="3"/>
      <c r="G46" s="3"/>
      <c r="H46" s="3"/>
      <c r="I46" s="3"/>
      <c r="J46" s="3"/>
      <c r="K46" s="3"/>
      <c r="L46" s="3"/>
      <c r="M46" s="3"/>
      <c r="N46" s="3"/>
      <c r="O46" s="3"/>
      <c r="P46" s="3"/>
      <c r="Q46" s="3"/>
      <c r="R46" s="3"/>
    </row>
    <row r="47" spans="2:18" ht="15" customHeight="1" x14ac:dyDescent="0.35">
      <c r="B47" s="25" t="s">
        <v>300</v>
      </c>
      <c r="C47" s="3"/>
      <c r="D47" s="69">
        <f>P40-D10</f>
        <v>-65349.783476000011</v>
      </c>
      <c r="E47" s="3"/>
      <c r="F47" s="3"/>
      <c r="G47" s="3"/>
      <c r="H47" s="3"/>
      <c r="I47" s="3"/>
      <c r="J47" s="3"/>
      <c r="K47" s="3"/>
      <c r="L47" s="3"/>
      <c r="M47" s="3"/>
      <c r="N47" s="3"/>
      <c r="O47" s="3"/>
      <c r="P47" s="3"/>
      <c r="Q47" s="3"/>
      <c r="R47" s="3"/>
    </row>
    <row r="48" spans="2:18" ht="15" customHeight="1" x14ac:dyDescent="0.35">
      <c r="B48" s="25" t="s">
        <v>301</v>
      </c>
      <c r="C48" s="3"/>
      <c r="D48" s="69">
        <f>R39</f>
        <v>-5026.9064212307676</v>
      </c>
      <c r="E48" s="3"/>
      <c r="F48" s="21" t="s">
        <v>302</v>
      </c>
      <c r="G48" s="3"/>
      <c r="H48" s="3"/>
      <c r="I48" s="3"/>
      <c r="J48" s="3"/>
      <c r="K48" s="3"/>
      <c r="L48" s="3"/>
      <c r="M48" s="3"/>
      <c r="N48" s="3"/>
      <c r="O48" s="3"/>
      <c r="P48" s="3"/>
      <c r="Q48" s="3"/>
      <c r="R48" s="3"/>
    </row>
    <row r="49" spans="2:18" ht="15" customHeight="1" x14ac:dyDescent="0.35">
      <c r="B49" s="25" t="s">
        <v>261</v>
      </c>
      <c r="C49" s="3"/>
      <c r="D49" s="69">
        <f>Q18</f>
        <v>713689.48160000006</v>
      </c>
      <c r="E49" s="3"/>
      <c r="F49" s="3"/>
      <c r="G49" s="3"/>
      <c r="H49" s="3"/>
      <c r="I49" s="3"/>
      <c r="J49" s="3"/>
      <c r="K49" s="3"/>
      <c r="L49" s="3"/>
      <c r="M49" s="3"/>
      <c r="N49" s="3"/>
      <c r="O49" s="3"/>
      <c r="P49" s="3"/>
      <c r="Q49" s="3"/>
      <c r="R49" s="3"/>
    </row>
    <row r="50" spans="2:18" ht="15" customHeight="1" x14ac:dyDescent="0.35">
      <c r="B50" s="25" t="s">
        <v>290</v>
      </c>
      <c r="C50" s="3"/>
      <c r="D50" s="69">
        <f>Q36</f>
        <v>779039.26507599989</v>
      </c>
      <c r="E50" s="3"/>
      <c r="F50" s="3"/>
      <c r="G50" s="3"/>
      <c r="H50" s="3"/>
      <c r="I50" s="3"/>
      <c r="J50" s="3"/>
      <c r="K50" s="3"/>
      <c r="L50" s="3"/>
      <c r="M50" s="3"/>
      <c r="N50" s="3"/>
      <c r="O50" s="3"/>
      <c r="P50" s="3"/>
      <c r="Q50" s="3"/>
      <c r="R50" s="3"/>
    </row>
    <row r="51" spans="2:18" ht="15" customHeight="1" x14ac:dyDescent="0.35">
      <c r="B51" s="13" t="s">
        <v>303</v>
      </c>
      <c r="C51" s="3"/>
      <c r="D51" s="70">
        <f>MIN(D40:P40)</f>
        <v>114528.43459999998</v>
      </c>
      <c r="E51" s="3"/>
      <c r="F51" s="3"/>
      <c r="G51" s="3"/>
      <c r="H51" s="3"/>
      <c r="I51" s="3"/>
      <c r="J51" s="3"/>
      <c r="K51" s="3"/>
      <c r="L51" s="3"/>
      <c r="M51" s="3"/>
      <c r="N51" s="3"/>
      <c r="O51" s="3"/>
      <c r="P51" s="3"/>
      <c r="Q51" s="3"/>
      <c r="R51" s="3"/>
    </row>
    <row r="52" spans="2:18" ht="15" customHeight="1" x14ac:dyDescent="0.35">
      <c r="B52" s="25" t="s">
        <v>304</v>
      </c>
      <c r="C52" s="3"/>
      <c r="D52" s="71">
        <f>MATCH(MIN(D40:P40),D40:P40,0)</f>
        <v>9</v>
      </c>
      <c r="E52" s="3"/>
      <c r="F52" s="3"/>
      <c r="G52" s="3"/>
      <c r="H52" s="3"/>
      <c r="I52" s="3"/>
      <c r="J52" s="3"/>
      <c r="K52" s="3"/>
      <c r="L52" s="3"/>
      <c r="M52" s="3"/>
      <c r="N52" s="3"/>
      <c r="O52" s="3"/>
      <c r="P52" s="3"/>
      <c r="Q52" s="3"/>
      <c r="R52" s="3"/>
    </row>
    <row r="53" spans="2:18" ht="15" customHeight="1" x14ac:dyDescent="0.35">
      <c r="B53" s="25" t="s">
        <v>305</v>
      </c>
      <c r="C53" s="3"/>
      <c r="D53" s="72">
        <f>INDEX(D7:P7,1,D52)</f>
        <v>46293</v>
      </c>
      <c r="E53" s="3"/>
      <c r="F53" s="3"/>
      <c r="G53" s="3"/>
      <c r="H53" s="3"/>
      <c r="I53" s="3"/>
      <c r="J53" s="3"/>
      <c r="K53" s="3"/>
      <c r="L53" s="3"/>
      <c r="M53" s="3"/>
      <c r="N53" s="3"/>
      <c r="O53" s="3"/>
      <c r="P53" s="3"/>
      <c r="Q53" s="3"/>
      <c r="R53" s="3"/>
    </row>
    <row r="54" spans="2:18" ht="15" customHeight="1" x14ac:dyDescent="0.35">
      <c r="B54" s="13" t="s">
        <v>306</v>
      </c>
      <c r="C54" s="3"/>
      <c r="D54" s="70">
        <f>MIN(D42:P42)</f>
        <v>-5471.5654000000213</v>
      </c>
      <c r="E54" s="3"/>
      <c r="F54" s="3"/>
      <c r="G54" s="3"/>
      <c r="H54" s="3"/>
      <c r="I54" s="3"/>
      <c r="J54" s="3"/>
      <c r="K54" s="3"/>
      <c r="L54" s="3"/>
      <c r="M54" s="3"/>
      <c r="N54" s="3"/>
      <c r="O54" s="3"/>
      <c r="P54" s="3"/>
      <c r="Q54" s="3"/>
      <c r="R54" s="3"/>
    </row>
    <row r="55" spans="2:18" ht="15" customHeight="1" x14ac:dyDescent="0.35">
      <c r="B55" s="25" t="s">
        <v>307</v>
      </c>
      <c r="C55" s="3"/>
      <c r="D55" s="71">
        <f>COUNTIF(D42:P42,"&lt;0")</f>
        <v>1</v>
      </c>
      <c r="E55" s="3"/>
      <c r="F55" s="3"/>
      <c r="G55" s="3"/>
      <c r="H55" s="3"/>
      <c r="I55" s="3"/>
      <c r="J55" s="3"/>
      <c r="K55" s="3"/>
      <c r="L55" s="3"/>
      <c r="M55" s="3"/>
      <c r="N55" s="3"/>
      <c r="O55" s="3"/>
      <c r="P55" s="3"/>
      <c r="Q55" s="3"/>
      <c r="R55" s="3"/>
    </row>
    <row r="56" spans="2:18" ht="15" customHeight="1" x14ac:dyDescent="0.35">
      <c r="B56" s="25" t="s">
        <v>308</v>
      </c>
      <c r="C56" s="3"/>
      <c r="D56" s="73">
        <f>IF(D48&lt;0,-P40/D48,"n/a - cash generative")</f>
        <v>27.78054827800208</v>
      </c>
      <c r="E56" s="3"/>
      <c r="F56" s="21" t="s">
        <v>309</v>
      </c>
      <c r="G56" s="3"/>
      <c r="H56" s="3"/>
      <c r="I56" s="3"/>
      <c r="J56" s="3"/>
      <c r="K56" s="3"/>
      <c r="L56" s="3"/>
      <c r="M56" s="3"/>
      <c r="N56" s="3"/>
      <c r="O56" s="3"/>
      <c r="P56" s="3"/>
      <c r="Q56" s="3"/>
      <c r="R56" s="3"/>
    </row>
    <row r="57" spans="2:18" ht="15" customHeight="1" x14ac:dyDescent="0.35">
      <c r="B57" s="25" t="s">
        <v>310</v>
      </c>
      <c r="C57" s="3"/>
      <c r="D57" s="73">
        <f>IF(D48&lt;0,-(P40-D41)/D48,"n/a")</f>
        <v>3.9090078225862235</v>
      </c>
      <c r="E57" s="3"/>
      <c r="F57" s="3"/>
      <c r="G57" s="3"/>
      <c r="H57" s="3"/>
      <c r="I57" s="3"/>
      <c r="J57" s="3"/>
      <c r="K57" s="3"/>
      <c r="L57" s="3"/>
      <c r="M57" s="3"/>
      <c r="N57" s="3"/>
      <c r="O57" s="3"/>
      <c r="P57" s="3"/>
      <c r="Q57" s="3"/>
      <c r="R57" s="3"/>
    </row>
    <row r="58" spans="2:18" ht="15" customHeight="1" x14ac:dyDescent="0.35">
      <c r="B58" s="25" t="s">
        <v>311</v>
      </c>
      <c r="C58" s="3"/>
      <c r="D58" s="69">
        <f>MAX(0,-D48)</f>
        <v>5026.9064212307676</v>
      </c>
      <c r="E58" s="3"/>
      <c r="F58" s="3"/>
      <c r="G58" s="3"/>
      <c r="H58" s="3"/>
      <c r="I58" s="3"/>
      <c r="J58" s="3"/>
      <c r="K58" s="3"/>
      <c r="L58" s="3"/>
      <c r="M58" s="3"/>
      <c r="N58" s="3"/>
      <c r="O58" s="3"/>
      <c r="P58" s="3"/>
      <c r="Q58" s="3"/>
      <c r="R58" s="3"/>
    </row>
    <row r="59" spans="2:18" ht="6" customHeight="1" x14ac:dyDescent="0.35">
      <c r="B59" s="3"/>
      <c r="C59" s="3"/>
      <c r="D59" s="3"/>
      <c r="E59" s="3"/>
      <c r="F59" s="3"/>
      <c r="G59" s="3"/>
      <c r="H59" s="3"/>
      <c r="I59" s="3"/>
      <c r="J59" s="3"/>
      <c r="K59" s="3"/>
      <c r="L59" s="3"/>
      <c r="M59" s="3"/>
      <c r="N59" s="3"/>
      <c r="O59" s="3"/>
      <c r="P59" s="3"/>
      <c r="Q59" s="3"/>
      <c r="R59" s="3"/>
    </row>
    <row r="60" spans="2:18" ht="15" customHeight="1" x14ac:dyDescent="0.35">
      <c r="B60" s="21" t="s">
        <v>312</v>
      </c>
      <c r="C60" s="3"/>
      <c r="D60" s="3"/>
      <c r="E60" s="3"/>
      <c r="F60" s="3"/>
      <c r="G60" s="3"/>
      <c r="H60" s="3"/>
      <c r="I60" s="3"/>
      <c r="J60" s="3"/>
      <c r="K60" s="3"/>
      <c r="L60" s="3"/>
      <c r="M60" s="3"/>
      <c r="N60" s="3"/>
      <c r="O60" s="3"/>
      <c r="P60" s="3"/>
      <c r="Q60" s="3"/>
      <c r="R60" s="3"/>
    </row>
    <row r="61" spans="2:18" ht="6" customHeight="1" x14ac:dyDescent="0.35">
      <c r="B61" s="3"/>
      <c r="C61" s="3"/>
      <c r="D61" s="3"/>
      <c r="E61" s="3"/>
      <c r="F61" s="3"/>
      <c r="G61" s="3"/>
      <c r="H61" s="3"/>
      <c r="I61" s="3"/>
      <c r="J61" s="3"/>
      <c r="K61" s="3"/>
      <c r="L61" s="3"/>
      <c r="M61" s="3"/>
      <c r="N61" s="3"/>
      <c r="O61" s="3"/>
      <c r="P61" s="3"/>
      <c r="Q61" s="3"/>
      <c r="R61" s="3"/>
    </row>
    <row r="62" spans="2:18" ht="6" customHeight="1" x14ac:dyDescent="0.35">
      <c r="B62" s="3"/>
      <c r="C62" s="3"/>
      <c r="D62" s="3"/>
      <c r="E62" s="3"/>
      <c r="F62" s="3"/>
      <c r="G62" s="3"/>
      <c r="H62" s="3"/>
      <c r="I62" s="3"/>
      <c r="J62" s="3"/>
      <c r="K62" s="3"/>
      <c r="L62" s="3"/>
      <c r="M62" s="3"/>
      <c r="N62" s="3"/>
      <c r="O62" s="3"/>
      <c r="P62" s="3"/>
      <c r="Q62" s="3"/>
      <c r="R62" s="3"/>
    </row>
    <row r="63" spans="2:18" ht="18" customHeight="1" x14ac:dyDescent="0.35">
      <c r="B63" s="12" t="s">
        <v>313</v>
      </c>
      <c r="C63" s="12"/>
      <c r="D63" s="12"/>
      <c r="E63" s="12"/>
      <c r="F63" s="12"/>
      <c r="G63" s="12"/>
      <c r="H63" s="12"/>
      <c r="I63" s="12"/>
      <c r="J63" s="12"/>
      <c r="K63" s="12"/>
      <c r="L63" s="12"/>
      <c r="M63" s="12"/>
      <c r="N63" s="12"/>
      <c r="O63" s="12"/>
      <c r="P63" s="12"/>
      <c r="Q63" s="12"/>
      <c r="R63" s="12"/>
    </row>
    <row r="64" spans="2:18" ht="15.75" customHeight="1" x14ac:dyDescent="0.35">
      <c r="B64" s="74" t="s">
        <v>314</v>
      </c>
      <c r="C64" s="74"/>
      <c r="D64" s="74"/>
      <c r="E64" s="74"/>
      <c r="F64" s="74"/>
      <c r="G64" s="74"/>
      <c r="H64" s="74"/>
      <c r="I64" s="74"/>
      <c r="J64" s="74"/>
      <c r="K64" s="74"/>
      <c r="L64" s="74"/>
      <c r="M64" s="74"/>
      <c r="N64" s="74"/>
      <c r="O64" s="74"/>
      <c r="P64" s="74"/>
      <c r="Q64" s="74"/>
      <c r="R64" s="74"/>
    </row>
    <row r="65" spans="2:18" ht="13.5" customHeight="1" x14ac:dyDescent="0.35">
      <c r="B65" s="75" t="s">
        <v>315</v>
      </c>
      <c r="C65" s="59" t="s">
        <v>316</v>
      </c>
      <c r="D65" s="76">
        <f>IF(OR(AND(MIN(DATE(YEAR(D$7),MONTH(D$7),Assumptions!$C$79),EOMONTH(D$7,0))&gt;=D$7,MIN(DATE(YEAR(D$7),MONTH(D$7),Assumptions!$C$79),EOMONTH(D$7,0))&lt;=D$8),AND(MIN(DATE(YEAR(D$8),MONTH(D$8),Assumptions!$C$79),EOMONTH(D$8,0))&gt;=D$7,MIN(DATE(YEAR(D$8),MONTH(D$8),Assumptions!$C$79),EOMONTH(D$8,0))&lt;=D$8)),1,0)</f>
        <v>0</v>
      </c>
      <c r="E65" s="76">
        <f>IF(OR(AND(MIN(DATE(YEAR(E$7),MONTH(E$7),Assumptions!$C$79),EOMONTH(E$7,0))&gt;=E$7,MIN(DATE(YEAR(E$7),MONTH(E$7),Assumptions!$C$79),EOMONTH(E$7,0))&lt;=E$8),AND(MIN(DATE(YEAR(E$8),MONTH(E$8),Assumptions!$C$79),EOMONTH(E$8,0))&gt;=E$7,MIN(DATE(YEAR(E$8),MONTH(E$8),Assumptions!$C$79),EOMONTH(E$8,0))&lt;=E$8)),1,0)</f>
        <v>0</v>
      </c>
      <c r="F65" s="76">
        <f>IF(OR(AND(MIN(DATE(YEAR(F$7),MONTH(F$7),Assumptions!$C$79),EOMONTH(F$7,0))&gt;=F$7,MIN(DATE(YEAR(F$7),MONTH(F$7),Assumptions!$C$79),EOMONTH(F$7,0))&lt;=F$8),AND(MIN(DATE(YEAR(F$8),MONTH(F$8),Assumptions!$C$79),EOMONTH(F$8,0))&gt;=F$7,MIN(DATE(YEAR(F$8),MONTH(F$8),Assumptions!$C$79),EOMONTH(F$8,0))&lt;=F$8)),1,0)</f>
        <v>0</v>
      </c>
      <c r="G65" s="76">
        <f>IF(OR(AND(MIN(DATE(YEAR(G$7),MONTH(G$7),Assumptions!$C$79),EOMONTH(G$7,0))&gt;=G$7,MIN(DATE(YEAR(G$7),MONTH(G$7),Assumptions!$C$79),EOMONTH(G$7,0))&lt;=G$8),AND(MIN(DATE(YEAR(G$8),MONTH(G$8),Assumptions!$C$79),EOMONTH(G$8,0))&gt;=G$7,MIN(DATE(YEAR(G$8),MONTH(G$8),Assumptions!$C$79),EOMONTH(G$8,0))&lt;=G$8)),1,0)</f>
        <v>0</v>
      </c>
      <c r="H65" s="76">
        <f>IF(OR(AND(MIN(DATE(YEAR(H$7),MONTH(H$7),Assumptions!$C$79),EOMONTH(H$7,0))&gt;=H$7,MIN(DATE(YEAR(H$7),MONTH(H$7),Assumptions!$C$79),EOMONTH(H$7,0))&lt;=H$8),AND(MIN(DATE(YEAR(H$8),MONTH(H$8),Assumptions!$C$79),EOMONTH(H$8,0))&gt;=H$7,MIN(DATE(YEAR(H$8),MONTH(H$8),Assumptions!$C$79),EOMONTH(H$8,0))&lt;=H$8)),1,0)</f>
        <v>1</v>
      </c>
      <c r="I65" s="76">
        <f>IF(OR(AND(MIN(DATE(YEAR(I$7),MONTH(I$7),Assumptions!$C$79),EOMONTH(I$7,0))&gt;=I$7,MIN(DATE(YEAR(I$7),MONTH(I$7),Assumptions!$C$79),EOMONTH(I$7,0))&lt;=I$8),AND(MIN(DATE(YEAR(I$8),MONTH(I$8),Assumptions!$C$79),EOMONTH(I$8,0))&gt;=I$7,MIN(DATE(YEAR(I$8),MONTH(I$8),Assumptions!$C$79),EOMONTH(I$8,0))&lt;=I$8)),1,0)</f>
        <v>0</v>
      </c>
      <c r="J65" s="76">
        <f>IF(OR(AND(MIN(DATE(YEAR(J$7),MONTH(J$7),Assumptions!$C$79),EOMONTH(J$7,0))&gt;=J$7,MIN(DATE(YEAR(J$7),MONTH(J$7),Assumptions!$C$79),EOMONTH(J$7,0))&lt;=J$8),AND(MIN(DATE(YEAR(J$8),MONTH(J$8),Assumptions!$C$79),EOMONTH(J$8,0))&gt;=J$7,MIN(DATE(YEAR(J$8),MONTH(J$8),Assumptions!$C$79),EOMONTH(J$8,0))&lt;=J$8)),1,0)</f>
        <v>0</v>
      </c>
      <c r="K65" s="76">
        <f>IF(OR(AND(MIN(DATE(YEAR(K$7),MONTH(K$7),Assumptions!$C$79),EOMONTH(K$7,0))&gt;=K$7,MIN(DATE(YEAR(K$7),MONTH(K$7),Assumptions!$C$79),EOMONTH(K$7,0))&lt;=K$8),AND(MIN(DATE(YEAR(K$8),MONTH(K$8),Assumptions!$C$79),EOMONTH(K$8,0))&gt;=K$7,MIN(DATE(YEAR(K$8),MONTH(K$8),Assumptions!$C$79),EOMONTH(K$8,0))&lt;=K$8)),1,0)</f>
        <v>0</v>
      </c>
      <c r="L65" s="76">
        <f>IF(OR(AND(MIN(DATE(YEAR(L$7),MONTH(L$7),Assumptions!$C$79),EOMONTH(L$7,0))&gt;=L$7,MIN(DATE(YEAR(L$7),MONTH(L$7),Assumptions!$C$79),EOMONTH(L$7,0))&lt;=L$8),AND(MIN(DATE(YEAR(L$8),MONTH(L$8),Assumptions!$C$79),EOMONTH(L$8,0))&gt;=L$7,MIN(DATE(YEAR(L$8),MONTH(L$8),Assumptions!$C$79),EOMONTH(L$8,0))&lt;=L$8)),1,0)</f>
        <v>1</v>
      </c>
      <c r="M65" s="76">
        <f>IF(OR(AND(MIN(DATE(YEAR(M$7),MONTH(M$7),Assumptions!$C$79),EOMONTH(M$7,0))&gt;=M$7,MIN(DATE(YEAR(M$7),MONTH(M$7),Assumptions!$C$79),EOMONTH(M$7,0))&lt;=M$8),AND(MIN(DATE(YEAR(M$8),MONTH(M$8),Assumptions!$C$79),EOMONTH(M$8,0))&gt;=M$7,MIN(DATE(YEAR(M$8),MONTH(M$8),Assumptions!$C$79),EOMONTH(M$8,0))&lt;=M$8)),1,0)</f>
        <v>0</v>
      </c>
      <c r="N65" s="76">
        <f>IF(OR(AND(MIN(DATE(YEAR(N$7),MONTH(N$7),Assumptions!$C$79),EOMONTH(N$7,0))&gt;=N$7,MIN(DATE(YEAR(N$7),MONTH(N$7),Assumptions!$C$79),EOMONTH(N$7,0))&lt;=N$8),AND(MIN(DATE(YEAR(N$8),MONTH(N$8),Assumptions!$C$79),EOMONTH(N$8,0))&gt;=N$7,MIN(DATE(YEAR(N$8),MONTH(N$8),Assumptions!$C$79),EOMONTH(N$8,0))&lt;=N$8)),1,0)</f>
        <v>0</v>
      </c>
      <c r="O65" s="76">
        <f>IF(OR(AND(MIN(DATE(YEAR(O$7),MONTH(O$7),Assumptions!$C$79),EOMONTH(O$7,0))&gt;=O$7,MIN(DATE(YEAR(O$7),MONTH(O$7),Assumptions!$C$79),EOMONTH(O$7,0))&lt;=O$8),AND(MIN(DATE(YEAR(O$8),MONTH(O$8),Assumptions!$C$79),EOMONTH(O$8,0))&gt;=O$7,MIN(DATE(YEAR(O$8),MONTH(O$8),Assumptions!$C$79),EOMONTH(O$8,0))&lt;=O$8)),1,0)</f>
        <v>0</v>
      </c>
      <c r="P65" s="76">
        <f>IF(OR(AND(MIN(DATE(YEAR(P$7),MONTH(P$7),Assumptions!$C$79),EOMONTH(P$7,0))&gt;=P$7,MIN(DATE(YEAR(P$7),MONTH(P$7),Assumptions!$C$79),EOMONTH(P$7,0))&lt;=P$8),AND(MIN(DATE(YEAR(P$8),MONTH(P$8),Assumptions!$C$79),EOMONTH(P$8,0))&gt;=P$7,MIN(DATE(YEAR(P$8),MONTH(P$8),Assumptions!$C$79),EOMONTH(P$8,0))&lt;=P$8)),1,0)</f>
        <v>1</v>
      </c>
      <c r="Q65" s="3"/>
      <c r="R65" s="3"/>
    </row>
    <row r="66" spans="2:18" ht="13.5" customHeight="1" x14ac:dyDescent="0.35">
      <c r="B66" s="75" t="s">
        <v>317</v>
      </c>
      <c r="C66" s="21"/>
      <c r="D66" s="76">
        <f>IF(OR(AND(MIN(DATE(YEAR(D$7),MONTH(D$7),Assumptions!$C$80),EOMONTH(D$7,0))&gt;=D$7,MIN(DATE(YEAR(D$7),MONTH(D$7),Assumptions!$C$80),EOMONTH(D$7,0))&lt;=D$8),AND(MIN(DATE(YEAR(D$8),MONTH(D$8),Assumptions!$C$80),EOMONTH(D$8,0))&gt;=D$7,MIN(DATE(YEAR(D$8),MONTH(D$8),Assumptions!$C$80),EOMONTH(D$8,0))&lt;=D$8)),1,0)</f>
        <v>1</v>
      </c>
      <c r="E66" s="76">
        <f>IF(OR(AND(MIN(DATE(YEAR(E$7),MONTH(E$7),Assumptions!$C$80),EOMONTH(E$7,0))&gt;=E$7,MIN(DATE(YEAR(E$7),MONTH(E$7),Assumptions!$C$80),EOMONTH(E$7,0))&lt;=E$8),AND(MIN(DATE(YEAR(E$8),MONTH(E$8),Assumptions!$C$80),EOMONTH(E$8,0))&gt;=E$7,MIN(DATE(YEAR(E$8),MONTH(E$8),Assumptions!$C$80),EOMONTH(E$8,0))&lt;=E$8)),1,0)</f>
        <v>0</v>
      </c>
      <c r="F66" s="76">
        <f>IF(OR(AND(MIN(DATE(YEAR(F$7),MONTH(F$7),Assumptions!$C$80),EOMONTH(F$7,0))&gt;=F$7,MIN(DATE(YEAR(F$7),MONTH(F$7),Assumptions!$C$80),EOMONTH(F$7,0))&lt;=F$8),AND(MIN(DATE(YEAR(F$8),MONTH(F$8),Assumptions!$C$80),EOMONTH(F$8,0))&gt;=F$7,MIN(DATE(YEAR(F$8),MONTH(F$8),Assumptions!$C$80),EOMONTH(F$8,0))&lt;=F$8)),1,0)</f>
        <v>0</v>
      </c>
      <c r="G66" s="76">
        <f>IF(OR(AND(MIN(DATE(YEAR(G$7),MONTH(G$7),Assumptions!$C$80),EOMONTH(G$7,0))&gt;=G$7,MIN(DATE(YEAR(G$7),MONTH(G$7),Assumptions!$C$80),EOMONTH(G$7,0))&lt;=G$8),AND(MIN(DATE(YEAR(G$8),MONTH(G$8),Assumptions!$C$80),EOMONTH(G$8,0))&gt;=G$7,MIN(DATE(YEAR(G$8),MONTH(G$8),Assumptions!$C$80),EOMONTH(G$8,0))&lt;=G$8)),1,0)</f>
        <v>0</v>
      </c>
      <c r="H66" s="76">
        <f>IF(OR(AND(MIN(DATE(YEAR(H$7),MONTH(H$7),Assumptions!$C$80),EOMONTH(H$7,0))&gt;=H$7,MIN(DATE(YEAR(H$7),MONTH(H$7),Assumptions!$C$80),EOMONTH(H$7,0))&lt;=H$8),AND(MIN(DATE(YEAR(H$8),MONTH(H$8),Assumptions!$C$80),EOMONTH(H$8,0))&gt;=H$7,MIN(DATE(YEAR(H$8),MONTH(H$8),Assumptions!$C$80),EOMONTH(H$8,0))&lt;=H$8)),1,0)</f>
        <v>1</v>
      </c>
      <c r="I66" s="76">
        <f>IF(OR(AND(MIN(DATE(YEAR(I$7),MONTH(I$7),Assumptions!$C$80),EOMONTH(I$7,0))&gt;=I$7,MIN(DATE(YEAR(I$7),MONTH(I$7),Assumptions!$C$80),EOMONTH(I$7,0))&lt;=I$8),AND(MIN(DATE(YEAR(I$8),MONTH(I$8),Assumptions!$C$80),EOMONTH(I$8,0))&gt;=I$7,MIN(DATE(YEAR(I$8),MONTH(I$8),Assumptions!$C$80),EOMONTH(I$8,0))&lt;=I$8)),1,0)</f>
        <v>0</v>
      </c>
      <c r="J66" s="76">
        <f>IF(OR(AND(MIN(DATE(YEAR(J$7),MONTH(J$7),Assumptions!$C$80),EOMONTH(J$7,0))&gt;=J$7,MIN(DATE(YEAR(J$7),MONTH(J$7),Assumptions!$C$80),EOMONTH(J$7,0))&lt;=J$8),AND(MIN(DATE(YEAR(J$8),MONTH(J$8),Assumptions!$C$80),EOMONTH(J$8,0))&gt;=J$7,MIN(DATE(YEAR(J$8),MONTH(J$8),Assumptions!$C$80),EOMONTH(J$8,0))&lt;=J$8)),1,0)</f>
        <v>0</v>
      </c>
      <c r="K66" s="76">
        <f>IF(OR(AND(MIN(DATE(YEAR(K$7),MONTH(K$7),Assumptions!$C$80),EOMONTH(K$7,0))&gt;=K$7,MIN(DATE(YEAR(K$7),MONTH(K$7),Assumptions!$C$80),EOMONTH(K$7,0))&lt;=K$8),AND(MIN(DATE(YEAR(K$8),MONTH(K$8),Assumptions!$C$80),EOMONTH(K$8,0))&gt;=K$7,MIN(DATE(YEAR(K$8),MONTH(K$8),Assumptions!$C$80),EOMONTH(K$8,0))&lt;=K$8)),1,0)</f>
        <v>0</v>
      </c>
      <c r="L66" s="76">
        <f>IF(OR(AND(MIN(DATE(YEAR(L$7),MONTH(L$7),Assumptions!$C$80),EOMONTH(L$7,0))&gt;=L$7,MIN(DATE(YEAR(L$7),MONTH(L$7),Assumptions!$C$80),EOMONTH(L$7,0))&lt;=L$8),AND(MIN(DATE(YEAR(L$8),MONTH(L$8),Assumptions!$C$80),EOMONTH(L$8,0))&gt;=L$7,MIN(DATE(YEAR(L$8),MONTH(L$8),Assumptions!$C$80),EOMONTH(L$8,0))&lt;=L$8)),1,0)</f>
        <v>0</v>
      </c>
      <c r="M66" s="76">
        <f>IF(OR(AND(MIN(DATE(YEAR(M$7),MONTH(M$7),Assumptions!$C$80),EOMONTH(M$7,0))&gt;=M$7,MIN(DATE(YEAR(M$7),MONTH(M$7),Assumptions!$C$80),EOMONTH(M$7,0))&lt;=M$8),AND(MIN(DATE(YEAR(M$8),MONTH(M$8),Assumptions!$C$80),EOMONTH(M$8,0))&gt;=M$7,MIN(DATE(YEAR(M$8),MONTH(M$8),Assumptions!$C$80),EOMONTH(M$8,0))&lt;=M$8)),1,0)</f>
        <v>1</v>
      </c>
      <c r="N66" s="76">
        <f>IF(OR(AND(MIN(DATE(YEAR(N$7),MONTH(N$7),Assumptions!$C$80),EOMONTH(N$7,0))&gt;=N$7,MIN(DATE(YEAR(N$7),MONTH(N$7),Assumptions!$C$80),EOMONTH(N$7,0))&lt;=N$8),AND(MIN(DATE(YEAR(N$8),MONTH(N$8),Assumptions!$C$80),EOMONTH(N$8,0))&gt;=N$7,MIN(DATE(YEAR(N$8),MONTH(N$8),Assumptions!$C$80),EOMONTH(N$8,0))&lt;=N$8)),1,0)</f>
        <v>0</v>
      </c>
      <c r="O66" s="76">
        <f>IF(OR(AND(MIN(DATE(YEAR(O$7),MONTH(O$7),Assumptions!$C$80),EOMONTH(O$7,0))&gt;=O$7,MIN(DATE(YEAR(O$7),MONTH(O$7),Assumptions!$C$80),EOMONTH(O$7,0))&lt;=O$8),AND(MIN(DATE(YEAR(O$8),MONTH(O$8),Assumptions!$C$80),EOMONTH(O$8,0))&gt;=O$7,MIN(DATE(YEAR(O$8),MONTH(O$8),Assumptions!$C$80),EOMONTH(O$8,0))&lt;=O$8)),1,0)</f>
        <v>0</v>
      </c>
      <c r="P66" s="76">
        <f>IF(OR(AND(MIN(DATE(YEAR(P$7),MONTH(P$7),Assumptions!$C$80),EOMONTH(P$7,0))&gt;=P$7,MIN(DATE(YEAR(P$7),MONTH(P$7),Assumptions!$C$80),EOMONTH(P$7,0))&lt;=P$8),AND(MIN(DATE(YEAR(P$8),MONTH(P$8),Assumptions!$C$80),EOMONTH(P$8,0))&gt;=P$7,MIN(DATE(YEAR(P$8),MONTH(P$8),Assumptions!$C$80),EOMONTH(P$8,0))&lt;=P$8)),1,0)</f>
        <v>0</v>
      </c>
      <c r="Q66" s="3"/>
      <c r="R66" s="3"/>
    </row>
    <row r="67" spans="2:18" ht="13.5" customHeight="1" x14ac:dyDescent="0.35">
      <c r="B67" s="75" t="s">
        <v>318</v>
      </c>
      <c r="C67" s="21"/>
      <c r="D67" s="76">
        <f>IF(OR(AND(MIN(DATE(YEAR(D$7),MONTH(D$7),Assumptions!$C$81),EOMONTH(D$7,0))&gt;=D$7,MIN(DATE(YEAR(D$7),MONTH(D$7),Assumptions!$C$81),EOMONTH(D$7,0))&lt;=D$8),AND(MIN(DATE(YEAR(D$8),MONTH(D$8),Assumptions!$C$81),EOMONTH(D$8,0))&gt;=D$7,MIN(DATE(YEAR(D$8),MONTH(D$8),Assumptions!$C$81),EOMONTH(D$8,0))&lt;=D$8)),1,0)</f>
        <v>0</v>
      </c>
      <c r="E67" s="76">
        <f>IF(OR(AND(MIN(DATE(YEAR(E$7),MONTH(E$7),Assumptions!$C$81),EOMONTH(E$7,0))&gt;=E$7,MIN(DATE(YEAR(E$7),MONTH(E$7),Assumptions!$C$81),EOMONTH(E$7,0))&lt;=E$8),AND(MIN(DATE(YEAR(E$8),MONTH(E$8),Assumptions!$C$81),EOMONTH(E$8,0))&gt;=E$7,MIN(DATE(YEAR(E$8),MONTH(E$8),Assumptions!$C$81),EOMONTH(E$8,0))&lt;=E$8)),1,0)</f>
        <v>1</v>
      </c>
      <c r="F67" s="76">
        <f>IF(OR(AND(MIN(DATE(YEAR(F$7),MONTH(F$7),Assumptions!$C$81),EOMONTH(F$7,0))&gt;=F$7,MIN(DATE(YEAR(F$7),MONTH(F$7),Assumptions!$C$81),EOMONTH(F$7,0))&lt;=F$8),AND(MIN(DATE(YEAR(F$8),MONTH(F$8),Assumptions!$C$81),EOMONTH(F$8,0))&gt;=F$7,MIN(DATE(YEAR(F$8),MONTH(F$8),Assumptions!$C$81),EOMONTH(F$8,0))&lt;=F$8)),1,0)</f>
        <v>0</v>
      </c>
      <c r="G67" s="76">
        <f>IF(OR(AND(MIN(DATE(YEAR(G$7),MONTH(G$7),Assumptions!$C$81),EOMONTH(G$7,0))&gt;=G$7,MIN(DATE(YEAR(G$7),MONTH(G$7),Assumptions!$C$81),EOMONTH(G$7,0))&lt;=G$8),AND(MIN(DATE(YEAR(G$8),MONTH(G$8),Assumptions!$C$81),EOMONTH(G$8,0))&gt;=G$7,MIN(DATE(YEAR(G$8),MONTH(G$8),Assumptions!$C$81),EOMONTH(G$8,0))&lt;=G$8)),1,0)</f>
        <v>0</v>
      </c>
      <c r="H67" s="76">
        <f>IF(OR(AND(MIN(DATE(YEAR(H$7),MONTH(H$7),Assumptions!$C$81),EOMONTH(H$7,0))&gt;=H$7,MIN(DATE(YEAR(H$7),MONTH(H$7),Assumptions!$C$81),EOMONTH(H$7,0))&lt;=H$8),AND(MIN(DATE(YEAR(H$8),MONTH(H$8),Assumptions!$C$81),EOMONTH(H$8,0))&gt;=H$7,MIN(DATE(YEAR(H$8),MONTH(H$8),Assumptions!$C$81),EOMONTH(H$8,0))&lt;=H$8)),1,0)</f>
        <v>0</v>
      </c>
      <c r="I67" s="76">
        <f>IF(OR(AND(MIN(DATE(YEAR(I$7),MONTH(I$7),Assumptions!$C$81),EOMONTH(I$7,0))&gt;=I$7,MIN(DATE(YEAR(I$7),MONTH(I$7),Assumptions!$C$81),EOMONTH(I$7,0))&lt;=I$8),AND(MIN(DATE(YEAR(I$8),MONTH(I$8),Assumptions!$C$81),EOMONTH(I$8,0))&gt;=I$7,MIN(DATE(YEAR(I$8),MONTH(I$8),Assumptions!$C$81),EOMONTH(I$8,0))&lt;=I$8)),1,0)</f>
        <v>1</v>
      </c>
      <c r="J67" s="76">
        <f>IF(OR(AND(MIN(DATE(YEAR(J$7),MONTH(J$7),Assumptions!$C$81),EOMONTH(J$7,0))&gt;=J$7,MIN(DATE(YEAR(J$7),MONTH(J$7),Assumptions!$C$81),EOMONTH(J$7,0))&lt;=J$8),AND(MIN(DATE(YEAR(J$8),MONTH(J$8),Assumptions!$C$81),EOMONTH(J$8,0))&gt;=J$7,MIN(DATE(YEAR(J$8),MONTH(J$8),Assumptions!$C$81),EOMONTH(J$8,0))&lt;=J$8)),1,0)</f>
        <v>0</v>
      </c>
      <c r="K67" s="76">
        <f>IF(OR(AND(MIN(DATE(YEAR(K$7),MONTH(K$7),Assumptions!$C$81),EOMONTH(K$7,0))&gt;=K$7,MIN(DATE(YEAR(K$7),MONTH(K$7),Assumptions!$C$81),EOMONTH(K$7,0))&lt;=K$8),AND(MIN(DATE(YEAR(K$8),MONTH(K$8),Assumptions!$C$81),EOMONTH(K$8,0))&gt;=K$7,MIN(DATE(YEAR(K$8),MONTH(K$8),Assumptions!$C$81),EOMONTH(K$8,0))&lt;=K$8)),1,0)</f>
        <v>0</v>
      </c>
      <c r="L67" s="76">
        <f>IF(OR(AND(MIN(DATE(YEAR(L$7),MONTH(L$7),Assumptions!$C$81),EOMONTH(L$7,0))&gt;=L$7,MIN(DATE(YEAR(L$7),MONTH(L$7),Assumptions!$C$81),EOMONTH(L$7,0))&lt;=L$8),AND(MIN(DATE(YEAR(L$8),MONTH(L$8),Assumptions!$C$81),EOMONTH(L$8,0))&gt;=L$7,MIN(DATE(YEAR(L$8),MONTH(L$8),Assumptions!$C$81),EOMONTH(L$8,0))&lt;=L$8)),1,0)</f>
        <v>0</v>
      </c>
      <c r="M67" s="76">
        <f>IF(OR(AND(MIN(DATE(YEAR(M$7),MONTH(M$7),Assumptions!$C$81),EOMONTH(M$7,0))&gt;=M$7,MIN(DATE(YEAR(M$7),MONTH(M$7),Assumptions!$C$81),EOMONTH(M$7,0))&lt;=M$8),AND(MIN(DATE(YEAR(M$8),MONTH(M$8),Assumptions!$C$81),EOMONTH(M$8,0))&gt;=M$7,MIN(DATE(YEAR(M$8),MONTH(M$8),Assumptions!$C$81),EOMONTH(M$8,0))&lt;=M$8)),1,0)</f>
        <v>1</v>
      </c>
      <c r="N67" s="76">
        <f>IF(OR(AND(MIN(DATE(YEAR(N$7),MONTH(N$7),Assumptions!$C$81),EOMONTH(N$7,0))&gt;=N$7,MIN(DATE(YEAR(N$7),MONTH(N$7),Assumptions!$C$81),EOMONTH(N$7,0))&lt;=N$8),AND(MIN(DATE(YEAR(N$8),MONTH(N$8),Assumptions!$C$81),EOMONTH(N$8,0))&gt;=N$7,MIN(DATE(YEAR(N$8),MONTH(N$8),Assumptions!$C$81),EOMONTH(N$8,0))&lt;=N$8)),1,0)</f>
        <v>0</v>
      </c>
      <c r="O67" s="76">
        <f>IF(OR(AND(MIN(DATE(YEAR(O$7),MONTH(O$7),Assumptions!$C$81),EOMONTH(O$7,0))&gt;=O$7,MIN(DATE(YEAR(O$7),MONTH(O$7),Assumptions!$C$81),EOMONTH(O$7,0))&lt;=O$8),AND(MIN(DATE(YEAR(O$8),MONTH(O$8),Assumptions!$C$81),EOMONTH(O$8,0))&gt;=O$7,MIN(DATE(YEAR(O$8),MONTH(O$8),Assumptions!$C$81),EOMONTH(O$8,0))&lt;=O$8)),1,0)</f>
        <v>0</v>
      </c>
      <c r="P67" s="76">
        <f>IF(OR(AND(MIN(DATE(YEAR(P$7),MONTH(P$7),Assumptions!$C$81),EOMONTH(P$7,0))&gt;=P$7,MIN(DATE(YEAR(P$7),MONTH(P$7),Assumptions!$C$81),EOMONTH(P$7,0))&lt;=P$8),AND(MIN(DATE(YEAR(P$8),MONTH(P$8),Assumptions!$C$81),EOMONTH(P$8,0))&gt;=P$7,MIN(DATE(YEAR(P$8),MONTH(P$8),Assumptions!$C$81),EOMONTH(P$8,0))&lt;=P$8)),1,0)</f>
        <v>0</v>
      </c>
      <c r="Q67" s="3"/>
      <c r="R67" s="3"/>
    </row>
    <row r="68" spans="2:18" ht="13.5" customHeight="1" x14ac:dyDescent="0.35">
      <c r="B68" s="75" t="s">
        <v>319</v>
      </c>
      <c r="C68" s="21"/>
      <c r="D68" s="76">
        <f>IF(OR(AND(MIN(DATE(YEAR(D$7),MONTH(D$7),Assumptions!$C$82),EOMONTH(D$7,0))&gt;=D$7,MIN(DATE(YEAR(D$7),MONTH(D$7),Assumptions!$C$82),EOMONTH(D$7,0))&lt;=D$8),AND(MIN(DATE(YEAR(D$8),MONTH(D$8),Assumptions!$C$82),EOMONTH(D$8,0))&gt;=D$7,MIN(DATE(YEAR(D$8),MONTH(D$8),Assumptions!$C$82),EOMONTH(D$8,0))&lt;=D$8)),1,0)</f>
        <v>0</v>
      </c>
      <c r="E68" s="76">
        <f>IF(OR(AND(MIN(DATE(YEAR(E$7),MONTH(E$7),Assumptions!$C$82),EOMONTH(E$7,0))&gt;=E$7,MIN(DATE(YEAR(E$7),MONTH(E$7),Assumptions!$C$82),EOMONTH(E$7,0))&lt;=E$8),AND(MIN(DATE(YEAR(E$8),MONTH(E$8),Assumptions!$C$82),EOMONTH(E$8,0))&gt;=E$7,MIN(DATE(YEAR(E$8),MONTH(E$8),Assumptions!$C$82),EOMONTH(E$8,0))&lt;=E$8)),1,0)</f>
        <v>1</v>
      </c>
      <c r="F68" s="76">
        <f>IF(OR(AND(MIN(DATE(YEAR(F$7),MONTH(F$7),Assumptions!$C$82),EOMONTH(F$7,0))&gt;=F$7,MIN(DATE(YEAR(F$7),MONTH(F$7),Assumptions!$C$82),EOMONTH(F$7,0))&lt;=F$8),AND(MIN(DATE(YEAR(F$8),MONTH(F$8),Assumptions!$C$82),EOMONTH(F$8,0))&gt;=F$7,MIN(DATE(YEAR(F$8),MONTH(F$8),Assumptions!$C$82),EOMONTH(F$8,0))&lt;=F$8)),1,0)</f>
        <v>0</v>
      </c>
      <c r="G68" s="76">
        <f>IF(OR(AND(MIN(DATE(YEAR(G$7),MONTH(G$7),Assumptions!$C$82),EOMONTH(G$7,0))&gt;=G$7,MIN(DATE(YEAR(G$7),MONTH(G$7),Assumptions!$C$82),EOMONTH(G$7,0))&lt;=G$8),AND(MIN(DATE(YEAR(G$8),MONTH(G$8),Assumptions!$C$82),EOMONTH(G$8,0))&gt;=G$7,MIN(DATE(YEAR(G$8),MONTH(G$8),Assumptions!$C$82),EOMONTH(G$8,0))&lt;=G$8)),1,0)</f>
        <v>0</v>
      </c>
      <c r="H68" s="76">
        <f>IF(OR(AND(MIN(DATE(YEAR(H$7),MONTH(H$7),Assumptions!$C$82),EOMONTH(H$7,0))&gt;=H$7,MIN(DATE(YEAR(H$7),MONTH(H$7),Assumptions!$C$82),EOMONTH(H$7,0))&lt;=H$8),AND(MIN(DATE(YEAR(H$8),MONTH(H$8),Assumptions!$C$82),EOMONTH(H$8,0))&gt;=H$7,MIN(DATE(YEAR(H$8),MONTH(H$8),Assumptions!$C$82),EOMONTH(H$8,0))&lt;=H$8)),1,0)</f>
        <v>0</v>
      </c>
      <c r="I68" s="76">
        <f>IF(OR(AND(MIN(DATE(YEAR(I$7),MONTH(I$7),Assumptions!$C$82),EOMONTH(I$7,0))&gt;=I$7,MIN(DATE(YEAR(I$7),MONTH(I$7),Assumptions!$C$82),EOMONTH(I$7,0))&lt;=I$8),AND(MIN(DATE(YEAR(I$8),MONTH(I$8),Assumptions!$C$82),EOMONTH(I$8,0))&gt;=I$7,MIN(DATE(YEAR(I$8),MONTH(I$8),Assumptions!$C$82),EOMONTH(I$8,0))&lt;=I$8)),1,0)</f>
        <v>0</v>
      </c>
      <c r="J68" s="76">
        <f>IF(OR(AND(MIN(DATE(YEAR(J$7),MONTH(J$7),Assumptions!$C$82),EOMONTH(J$7,0))&gt;=J$7,MIN(DATE(YEAR(J$7),MONTH(J$7),Assumptions!$C$82),EOMONTH(J$7,0))&lt;=J$8),AND(MIN(DATE(YEAR(J$8),MONTH(J$8),Assumptions!$C$82),EOMONTH(J$8,0))&gt;=J$7,MIN(DATE(YEAR(J$8),MONTH(J$8),Assumptions!$C$82),EOMONTH(J$8,0))&lt;=J$8)),1,0)</f>
        <v>1</v>
      </c>
      <c r="K68" s="76">
        <f>IF(OR(AND(MIN(DATE(YEAR(K$7),MONTH(K$7),Assumptions!$C$82),EOMONTH(K$7,0))&gt;=K$7,MIN(DATE(YEAR(K$7),MONTH(K$7),Assumptions!$C$82),EOMONTH(K$7,0))&lt;=K$8),AND(MIN(DATE(YEAR(K$8),MONTH(K$8),Assumptions!$C$82),EOMONTH(K$8,0))&gt;=K$7,MIN(DATE(YEAR(K$8),MONTH(K$8),Assumptions!$C$82),EOMONTH(K$8,0))&lt;=K$8)),1,0)</f>
        <v>0</v>
      </c>
      <c r="L68" s="76">
        <f>IF(OR(AND(MIN(DATE(YEAR(L$7),MONTH(L$7),Assumptions!$C$82),EOMONTH(L$7,0))&gt;=L$7,MIN(DATE(YEAR(L$7),MONTH(L$7),Assumptions!$C$82),EOMONTH(L$7,0))&lt;=L$8),AND(MIN(DATE(YEAR(L$8),MONTH(L$8),Assumptions!$C$82),EOMONTH(L$8,0))&gt;=L$7,MIN(DATE(YEAR(L$8),MONTH(L$8),Assumptions!$C$82),EOMONTH(L$8,0))&lt;=L$8)),1,0)</f>
        <v>0</v>
      </c>
      <c r="M68" s="76">
        <f>IF(OR(AND(MIN(DATE(YEAR(M$7),MONTH(M$7),Assumptions!$C$82),EOMONTH(M$7,0))&gt;=M$7,MIN(DATE(YEAR(M$7),MONTH(M$7),Assumptions!$C$82),EOMONTH(M$7,0))&lt;=M$8),AND(MIN(DATE(YEAR(M$8),MONTH(M$8),Assumptions!$C$82),EOMONTH(M$8,0))&gt;=M$7,MIN(DATE(YEAR(M$8),MONTH(M$8),Assumptions!$C$82),EOMONTH(M$8,0))&lt;=M$8)),1,0)</f>
        <v>0</v>
      </c>
      <c r="N68" s="76">
        <f>IF(OR(AND(MIN(DATE(YEAR(N$7),MONTH(N$7),Assumptions!$C$82),EOMONTH(N$7,0))&gt;=N$7,MIN(DATE(YEAR(N$7),MONTH(N$7),Assumptions!$C$82),EOMONTH(N$7,0))&lt;=N$8),AND(MIN(DATE(YEAR(N$8),MONTH(N$8),Assumptions!$C$82),EOMONTH(N$8,0))&gt;=N$7,MIN(DATE(YEAR(N$8),MONTH(N$8),Assumptions!$C$82),EOMONTH(N$8,0))&lt;=N$8)),1,0)</f>
        <v>1</v>
      </c>
      <c r="O68" s="76">
        <f>IF(OR(AND(MIN(DATE(YEAR(O$7),MONTH(O$7),Assumptions!$C$82),EOMONTH(O$7,0))&gt;=O$7,MIN(DATE(YEAR(O$7),MONTH(O$7),Assumptions!$C$82),EOMONTH(O$7,0))&lt;=O$8),AND(MIN(DATE(YEAR(O$8),MONTH(O$8),Assumptions!$C$82),EOMONTH(O$8,0))&gt;=O$7,MIN(DATE(YEAR(O$8),MONTH(O$8),Assumptions!$C$82),EOMONTH(O$8,0))&lt;=O$8)),1,0)</f>
        <v>0</v>
      </c>
      <c r="P68" s="76">
        <f>IF(OR(AND(MIN(DATE(YEAR(P$7),MONTH(P$7),Assumptions!$C$82),EOMONTH(P$7,0))&gt;=P$7,MIN(DATE(YEAR(P$7),MONTH(P$7),Assumptions!$C$82),EOMONTH(P$7,0))&lt;=P$8),AND(MIN(DATE(YEAR(P$8),MONTH(P$8),Assumptions!$C$82),EOMONTH(P$8,0))&gt;=P$7,MIN(DATE(YEAR(P$8),MONTH(P$8),Assumptions!$C$82),EOMONTH(P$8,0))&lt;=P$8)),1,0)</f>
        <v>0</v>
      </c>
      <c r="Q68" s="3"/>
      <c r="R68" s="3"/>
    </row>
    <row r="69" spans="2:18" ht="13.5" customHeight="1" x14ac:dyDescent="0.35">
      <c r="B69" s="75" t="s">
        <v>320</v>
      </c>
      <c r="C69" s="21"/>
      <c r="D69" s="76">
        <f>IF(OR(AND(MIN(DATE(YEAR(D$7),MONTH(D$7),Assumptions!$C$83),EOMONTH(D$7,0))&gt;=D$7,MIN(DATE(YEAR(D$7),MONTH(D$7),Assumptions!$C$83),EOMONTH(D$7,0))&lt;=D$8),AND(MIN(DATE(YEAR(D$8),MONTH(D$8),Assumptions!$C$83),EOMONTH(D$8,0))&gt;=D$7,MIN(DATE(YEAR(D$8),MONTH(D$8),Assumptions!$C$83),EOMONTH(D$8,0))&lt;=D$8)),1,0)</f>
        <v>0</v>
      </c>
      <c r="E69" s="76">
        <f>IF(OR(AND(MIN(DATE(YEAR(E$7),MONTH(E$7),Assumptions!$C$83),EOMONTH(E$7,0))&gt;=E$7,MIN(DATE(YEAR(E$7),MONTH(E$7),Assumptions!$C$83),EOMONTH(E$7,0))&lt;=E$8),AND(MIN(DATE(YEAR(E$8),MONTH(E$8),Assumptions!$C$83),EOMONTH(E$8,0))&gt;=E$7,MIN(DATE(YEAR(E$8),MONTH(E$8),Assumptions!$C$83),EOMONTH(E$8,0))&lt;=E$8)),1,0)</f>
        <v>0</v>
      </c>
      <c r="F69" s="76">
        <f>IF(OR(AND(MIN(DATE(YEAR(F$7),MONTH(F$7),Assumptions!$C$83),EOMONTH(F$7,0))&gt;=F$7,MIN(DATE(YEAR(F$7),MONTH(F$7),Assumptions!$C$83),EOMONTH(F$7,0))&lt;=F$8),AND(MIN(DATE(YEAR(F$8),MONTH(F$8),Assumptions!$C$83),EOMONTH(F$8,0))&gt;=F$7,MIN(DATE(YEAR(F$8),MONTH(F$8),Assumptions!$C$83),EOMONTH(F$8,0))&lt;=F$8)),1,0)</f>
        <v>1</v>
      </c>
      <c r="G69" s="76">
        <f>IF(OR(AND(MIN(DATE(YEAR(G$7),MONTH(G$7),Assumptions!$C$83),EOMONTH(G$7,0))&gt;=G$7,MIN(DATE(YEAR(G$7),MONTH(G$7),Assumptions!$C$83),EOMONTH(G$7,0))&lt;=G$8),AND(MIN(DATE(YEAR(G$8),MONTH(G$8),Assumptions!$C$83),EOMONTH(G$8,0))&gt;=G$7,MIN(DATE(YEAR(G$8),MONTH(G$8),Assumptions!$C$83),EOMONTH(G$8,0))&lt;=G$8)),1,0)</f>
        <v>0</v>
      </c>
      <c r="H69" s="76">
        <f>IF(OR(AND(MIN(DATE(YEAR(H$7),MONTH(H$7),Assumptions!$C$83),EOMONTH(H$7,0))&gt;=H$7,MIN(DATE(YEAR(H$7),MONTH(H$7),Assumptions!$C$83),EOMONTH(H$7,0))&lt;=H$8),AND(MIN(DATE(YEAR(H$8),MONTH(H$8),Assumptions!$C$83),EOMONTH(H$8,0))&gt;=H$7,MIN(DATE(YEAR(H$8),MONTH(H$8),Assumptions!$C$83),EOMONTH(H$8,0))&lt;=H$8)),1,0)</f>
        <v>0</v>
      </c>
      <c r="I69" s="76">
        <f>IF(OR(AND(MIN(DATE(YEAR(I$7),MONTH(I$7),Assumptions!$C$83),EOMONTH(I$7,0))&gt;=I$7,MIN(DATE(YEAR(I$7),MONTH(I$7),Assumptions!$C$83),EOMONTH(I$7,0))&lt;=I$8),AND(MIN(DATE(YEAR(I$8),MONTH(I$8),Assumptions!$C$83),EOMONTH(I$8,0))&gt;=I$7,MIN(DATE(YEAR(I$8),MONTH(I$8),Assumptions!$C$83),EOMONTH(I$8,0))&lt;=I$8)),1,0)</f>
        <v>0</v>
      </c>
      <c r="J69" s="76">
        <f>IF(OR(AND(MIN(DATE(YEAR(J$7),MONTH(J$7),Assumptions!$C$83),EOMONTH(J$7,0))&gt;=J$7,MIN(DATE(YEAR(J$7),MONTH(J$7),Assumptions!$C$83),EOMONTH(J$7,0))&lt;=J$8),AND(MIN(DATE(YEAR(J$8),MONTH(J$8),Assumptions!$C$83),EOMONTH(J$8,0))&gt;=J$7,MIN(DATE(YEAR(J$8),MONTH(J$8),Assumptions!$C$83),EOMONTH(J$8,0))&lt;=J$8)),1,0)</f>
        <v>1</v>
      </c>
      <c r="K69" s="76">
        <f>IF(OR(AND(MIN(DATE(YEAR(K$7),MONTH(K$7),Assumptions!$C$83),EOMONTH(K$7,0))&gt;=K$7,MIN(DATE(YEAR(K$7),MONTH(K$7),Assumptions!$C$83),EOMONTH(K$7,0))&lt;=K$8),AND(MIN(DATE(YEAR(K$8),MONTH(K$8),Assumptions!$C$83),EOMONTH(K$8,0))&gt;=K$7,MIN(DATE(YEAR(K$8),MONTH(K$8),Assumptions!$C$83),EOMONTH(K$8,0))&lt;=K$8)),1,0)</f>
        <v>0</v>
      </c>
      <c r="L69" s="76">
        <f>IF(OR(AND(MIN(DATE(YEAR(L$7),MONTH(L$7),Assumptions!$C$83),EOMONTH(L$7,0))&gt;=L$7,MIN(DATE(YEAR(L$7),MONTH(L$7),Assumptions!$C$83),EOMONTH(L$7,0))&lt;=L$8),AND(MIN(DATE(YEAR(L$8),MONTH(L$8),Assumptions!$C$83),EOMONTH(L$8,0))&gt;=L$7,MIN(DATE(YEAR(L$8),MONTH(L$8),Assumptions!$C$83),EOMONTH(L$8,0))&lt;=L$8)),1,0)</f>
        <v>0</v>
      </c>
      <c r="M69" s="76">
        <f>IF(OR(AND(MIN(DATE(YEAR(M$7),MONTH(M$7),Assumptions!$C$83),EOMONTH(M$7,0))&gt;=M$7,MIN(DATE(YEAR(M$7),MONTH(M$7),Assumptions!$C$83),EOMONTH(M$7,0))&lt;=M$8),AND(MIN(DATE(YEAR(M$8),MONTH(M$8),Assumptions!$C$83),EOMONTH(M$8,0))&gt;=M$7,MIN(DATE(YEAR(M$8),MONTH(M$8),Assumptions!$C$83),EOMONTH(M$8,0))&lt;=M$8)),1,0)</f>
        <v>0</v>
      </c>
      <c r="N69" s="76">
        <f>IF(OR(AND(MIN(DATE(YEAR(N$7),MONTH(N$7),Assumptions!$C$83),EOMONTH(N$7,0))&gt;=N$7,MIN(DATE(YEAR(N$7),MONTH(N$7),Assumptions!$C$83),EOMONTH(N$7,0))&lt;=N$8),AND(MIN(DATE(YEAR(N$8),MONTH(N$8),Assumptions!$C$83),EOMONTH(N$8,0))&gt;=N$7,MIN(DATE(YEAR(N$8),MONTH(N$8),Assumptions!$C$83),EOMONTH(N$8,0))&lt;=N$8)),1,0)</f>
        <v>0</v>
      </c>
      <c r="O69" s="76">
        <f>IF(OR(AND(MIN(DATE(YEAR(O$7),MONTH(O$7),Assumptions!$C$83),EOMONTH(O$7,0))&gt;=O$7,MIN(DATE(YEAR(O$7),MONTH(O$7),Assumptions!$C$83),EOMONTH(O$7,0))&lt;=O$8),AND(MIN(DATE(YEAR(O$8),MONTH(O$8),Assumptions!$C$83),EOMONTH(O$8,0))&gt;=O$7,MIN(DATE(YEAR(O$8),MONTH(O$8),Assumptions!$C$83),EOMONTH(O$8,0))&lt;=O$8)),1,0)</f>
        <v>1</v>
      </c>
      <c r="P69" s="76">
        <f>IF(OR(AND(MIN(DATE(YEAR(P$7),MONTH(P$7),Assumptions!$C$83),EOMONTH(P$7,0))&gt;=P$7,MIN(DATE(YEAR(P$7),MONTH(P$7),Assumptions!$C$83),EOMONTH(P$7,0))&lt;=P$8),AND(MIN(DATE(YEAR(P$8),MONTH(P$8),Assumptions!$C$83),EOMONTH(P$8,0))&gt;=P$7,MIN(DATE(YEAR(P$8),MONTH(P$8),Assumptions!$C$83),EOMONTH(P$8,0))&lt;=P$8)),1,0)</f>
        <v>0</v>
      </c>
      <c r="Q69" s="3"/>
      <c r="R69" s="3"/>
    </row>
    <row r="70" spans="2:18" ht="13.5" customHeight="1" x14ac:dyDescent="0.35">
      <c r="B70" s="75" t="s">
        <v>321</v>
      </c>
      <c r="C70" s="59" t="s">
        <v>322</v>
      </c>
      <c r="D70" s="76">
        <f t="shared" ref="D70:P70" si="14">IF(EOMONTH(D$7,0)&lt;=D$8,1,0)</f>
        <v>0</v>
      </c>
      <c r="E70" s="76">
        <f t="shared" si="14"/>
        <v>0</v>
      </c>
      <c r="F70" s="76">
        <f t="shared" si="14"/>
        <v>0</v>
      </c>
      <c r="G70" s="76">
        <f t="shared" si="14"/>
        <v>0</v>
      </c>
      <c r="H70" s="76">
        <f t="shared" si="14"/>
        <v>1</v>
      </c>
      <c r="I70" s="76">
        <f t="shared" si="14"/>
        <v>0</v>
      </c>
      <c r="J70" s="76">
        <f t="shared" si="14"/>
        <v>0</v>
      </c>
      <c r="K70" s="76">
        <f t="shared" si="14"/>
        <v>0</v>
      </c>
      <c r="L70" s="76">
        <f t="shared" si="14"/>
        <v>1</v>
      </c>
      <c r="M70" s="76">
        <f t="shared" si="14"/>
        <v>0</v>
      </c>
      <c r="N70" s="76">
        <f t="shared" si="14"/>
        <v>0</v>
      </c>
      <c r="O70" s="76">
        <f t="shared" si="14"/>
        <v>0</v>
      </c>
      <c r="P70" s="76">
        <f t="shared" si="14"/>
        <v>1</v>
      </c>
      <c r="Q70" s="3"/>
      <c r="R70" s="3"/>
    </row>
    <row r="71" spans="2:18" ht="6" customHeight="1" x14ac:dyDescent="0.35">
      <c r="B71" s="3"/>
      <c r="C71" s="3"/>
      <c r="D71" s="3"/>
      <c r="E71" s="3"/>
      <c r="F71" s="3"/>
      <c r="G71" s="3"/>
      <c r="H71" s="3"/>
      <c r="I71" s="3"/>
      <c r="J71" s="3"/>
      <c r="K71" s="3"/>
      <c r="L71" s="3"/>
      <c r="M71" s="3"/>
      <c r="N71" s="3"/>
      <c r="O71" s="3"/>
      <c r="P71" s="3"/>
      <c r="Q71" s="3"/>
      <c r="R71" s="3"/>
    </row>
    <row r="72" spans="2:18" ht="15.75" customHeight="1" x14ac:dyDescent="0.35">
      <c r="B72" s="74" t="s">
        <v>323</v>
      </c>
      <c r="C72" s="74"/>
      <c r="D72" s="74"/>
      <c r="E72" s="74"/>
      <c r="F72" s="74"/>
      <c r="G72" s="74"/>
      <c r="H72" s="74"/>
      <c r="I72" s="74"/>
      <c r="J72" s="74"/>
      <c r="K72" s="74"/>
      <c r="L72" s="74"/>
      <c r="M72" s="74"/>
      <c r="N72" s="74"/>
      <c r="O72" s="74"/>
      <c r="P72" s="74"/>
      <c r="Q72" s="74"/>
      <c r="R72" s="74"/>
    </row>
    <row r="73" spans="2:18" ht="13.5" customHeight="1" x14ac:dyDescent="0.35">
      <c r="B73" s="75" t="s">
        <v>187</v>
      </c>
      <c r="C73" s="59" t="s">
        <v>324</v>
      </c>
      <c r="D73" s="77">
        <f>Assumptions!$C$17*Assumptions!D$108*(1-Assumptions!$C$23)</f>
        <v>18127.899999999998</v>
      </c>
      <c r="E73" s="77">
        <f>Assumptions!$C$17*Assumptions!E$108*(1-Assumptions!$C$23)</f>
        <v>20608.559999999998</v>
      </c>
      <c r="F73" s="77">
        <f>Assumptions!$C$17*Assumptions!F$108*(1-Assumptions!$C$23)</f>
        <v>17555.439999999999</v>
      </c>
      <c r="G73" s="77">
        <f>Assumptions!$C$17*Assumptions!G$108*(1-Assumptions!$C$23)</f>
        <v>17173.8</v>
      </c>
      <c r="H73" s="77">
        <f>Assumptions!$C$17*Assumptions!H$108*(1-Assumptions!$C$23)</f>
        <v>17746.259999999998</v>
      </c>
      <c r="I73" s="77">
        <f>Assumptions!$C$17*Assumptions!I$108*(1-Assumptions!$C$23)</f>
        <v>18509.539999999997</v>
      </c>
      <c r="J73" s="77">
        <f>Assumptions!$C$17*Assumptions!J$108*(1-Assumptions!$C$23)</f>
        <v>19082</v>
      </c>
      <c r="K73" s="77">
        <f>Assumptions!$C$17*Assumptions!K$108*(1-Assumptions!$C$23)</f>
        <v>19463.64</v>
      </c>
      <c r="L73" s="77">
        <f>Assumptions!$C$17*Assumptions!L$108*(1-Assumptions!$C$23)</f>
        <v>18700.36</v>
      </c>
      <c r="M73" s="77">
        <f>Assumptions!$C$17*Assumptions!M$108*(1-Assumptions!$C$23)</f>
        <v>19654.46</v>
      </c>
      <c r="N73" s="77">
        <f>Assumptions!$C$17*Assumptions!N$108*(1-Assumptions!$C$23)</f>
        <v>20226.919999999998</v>
      </c>
      <c r="O73" s="77">
        <f>Assumptions!$C$17*Assumptions!O$108*(1-Assumptions!$C$23)</f>
        <v>20990.199999999997</v>
      </c>
      <c r="P73" s="77">
        <f>Assumptions!$C$17*Assumptions!P$108*(1-Assumptions!$C$23)</f>
        <v>21753.479999999996</v>
      </c>
      <c r="Q73" s="77">
        <f>SUM(D73:P73)</f>
        <v>249592.56</v>
      </c>
      <c r="R73" s="68">
        <f>AVERAGE(D73:P73)</f>
        <v>19199.42769230769</v>
      </c>
    </row>
    <row r="74" spans="2:18" ht="13.5" customHeight="1" x14ac:dyDescent="0.35">
      <c r="B74" s="75" t="s">
        <v>188</v>
      </c>
      <c r="C74" s="59" t="s">
        <v>324</v>
      </c>
      <c r="D74" s="77">
        <f>Assumptions!$C$18*Assumptions!D$109*(1-Assumptions!$C$24)</f>
        <v>20913.2</v>
      </c>
      <c r="E74" s="77">
        <f>Assumptions!$C$18*Assumptions!E$109*(1-Assumptions!$C$24)</f>
        <v>22638</v>
      </c>
      <c r="F74" s="77">
        <f>Assumptions!$C$18*Assumptions!F$109*(1-Assumptions!$C$24)</f>
        <v>20697.599999999999</v>
      </c>
      <c r="G74" s="77">
        <f>Assumptions!$C$18*Assumptions!G$109*(1-Assumptions!$C$24)</f>
        <v>20482</v>
      </c>
      <c r="H74" s="77">
        <f>Assumptions!$C$18*Assumptions!H$109*(1-Assumptions!$C$24)</f>
        <v>21344.400000000001</v>
      </c>
      <c r="I74" s="77">
        <f>Assumptions!$C$18*Assumptions!I$109*(1-Assumptions!$C$24)</f>
        <v>21991.200000000001</v>
      </c>
      <c r="J74" s="77">
        <f>Assumptions!$C$18*Assumptions!J$109*(1-Assumptions!$C$24)</f>
        <v>22422.400000000001</v>
      </c>
      <c r="K74" s="77">
        <f>Assumptions!$C$18*Assumptions!K$109*(1-Assumptions!$C$24)</f>
        <v>22853.599999999999</v>
      </c>
      <c r="L74" s="77">
        <f>Assumptions!$C$18*Assumptions!L$109*(1-Assumptions!$C$24)</f>
        <v>22638</v>
      </c>
      <c r="M74" s="77">
        <f>Assumptions!$C$18*Assumptions!M$109*(1-Assumptions!$C$24)</f>
        <v>23284.799999999999</v>
      </c>
      <c r="N74" s="77">
        <f>Assumptions!$C$18*Assumptions!N$109*(1-Assumptions!$C$24)</f>
        <v>24147.200000000004</v>
      </c>
      <c r="O74" s="77">
        <f>Assumptions!$C$18*Assumptions!O$109*(1-Assumptions!$C$24)</f>
        <v>24793.999999999996</v>
      </c>
      <c r="P74" s="77">
        <f>Assumptions!$C$18*Assumptions!P$109*(1-Assumptions!$C$24)</f>
        <v>25872</v>
      </c>
      <c r="Q74" s="77">
        <f>SUM(D74:P74)</f>
        <v>294078.39999999997</v>
      </c>
      <c r="R74" s="68">
        <f>AVERAGE(D74:P74)</f>
        <v>22621.415384615382</v>
      </c>
    </row>
    <row r="75" spans="2:18" ht="13.5" customHeight="1" x14ac:dyDescent="0.35">
      <c r="B75" s="75" t="s">
        <v>189</v>
      </c>
      <c r="C75" s="59" t="s">
        <v>325</v>
      </c>
      <c r="D75" s="77">
        <f>Assumptions!$C$19*Assumptions!D$110*(1-Assumptions!$C$25)</f>
        <v>0</v>
      </c>
      <c r="E75" s="77">
        <f>Assumptions!$C$19*Assumptions!E$110*(1-Assumptions!$C$25)</f>
        <v>23280</v>
      </c>
      <c r="F75" s="77">
        <f>Assumptions!$C$19*Assumptions!F$110*(1-Assumptions!$C$25)</f>
        <v>0</v>
      </c>
      <c r="G75" s="77">
        <f>Assumptions!$C$19*Assumptions!G$110*(1-Assumptions!$C$25)</f>
        <v>0</v>
      </c>
      <c r="H75" s="77">
        <f>Assumptions!$C$19*Assumptions!H$110*(1-Assumptions!$C$25)</f>
        <v>0</v>
      </c>
      <c r="I75" s="77">
        <f>Assumptions!$C$19*Assumptions!I$110*(1-Assumptions!$C$25)</f>
        <v>0</v>
      </c>
      <c r="J75" s="77">
        <f>Assumptions!$C$19*Assumptions!J$110*(1-Assumptions!$C$25)</f>
        <v>18624</v>
      </c>
      <c r="K75" s="77">
        <f>Assumptions!$C$19*Assumptions!K$110*(1-Assumptions!$C$25)</f>
        <v>0</v>
      </c>
      <c r="L75" s="77">
        <f>Assumptions!$C$19*Assumptions!L$110*(1-Assumptions!$C$25)</f>
        <v>0</v>
      </c>
      <c r="M75" s="77">
        <f>Assumptions!$C$19*Assumptions!M$110*(1-Assumptions!$C$25)</f>
        <v>0</v>
      </c>
      <c r="N75" s="77">
        <f>Assumptions!$C$19*Assumptions!N$110*(1-Assumptions!$C$25)</f>
        <v>32592</v>
      </c>
      <c r="O75" s="77">
        <f>Assumptions!$C$19*Assumptions!O$110*(1-Assumptions!$C$25)</f>
        <v>0</v>
      </c>
      <c r="P75" s="77">
        <f>Assumptions!$C$19*Assumptions!P$110*(1-Assumptions!$C$25)</f>
        <v>25608.000000000004</v>
      </c>
      <c r="Q75" s="77">
        <f>SUM(D75:P75)</f>
        <v>100104</v>
      </c>
      <c r="R75" s="68">
        <f>AVERAGE(D75:P75)</f>
        <v>7700.3076923076924</v>
      </c>
    </row>
    <row r="76" spans="2:18" ht="13.5" customHeight="1" x14ac:dyDescent="0.35">
      <c r="B76" s="75" t="s">
        <v>190</v>
      </c>
      <c r="C76" s="59" t="s">
        <v>324</v>
      </c>
      <c r="D76" s="77">
        <f>Assumptions!$C$20*Assumptions!D$111*(1-Assumptions!$C$26)</f>
        <v>7536</v>
      </c>
      <c r="E76" s="77">
        <f>Assumptions!$C$20*Assumptions!E$111*(1-Assumptions!$C$26)</f>
        <v>7850</v>
      </c>
      <c r="F76" s="77">
        <f>Assumptions!$C$20*Assumptions!F$111*(1-Assumptions!$C$26)</f>
        <v>7457.5</v>
      </c>
      <c r="G76" s="77">
        <f>Assumptions!$C$20*Assumptions!G$111*(1-Assumptions!$C$26)</f>
        <v>7379</v>
      </c>
      <c r="H76" s="77">
        <f>Assumptions!$C$20*Assumptions!H$111*(1-Assumptions!$C$26)</f>
        <v>7614.5</v>
      </c>
      <c r="I76" s="77">
        <f>Assumptions!$C$20*Assumptions!I$111*(1-Assumptions!$C$26)</f>
        <v>7850</v>
      </c>
      <c r="J76" s="77">
        <f>Assumptions!$C$20*Assumptions!J$111*(1-Assumptions!$C$26)</f>
        <v>8007</v>
      </c>
      <c r="K76" s="77">
        <f>Assumptions!$C$20*Assumptions!K$111*(1-Assumptions!$C$26)</f>
        <v>8085.5</v>
      </c>
      <c r="L76" s="77">
        <f>Assumptions!$C$20*Assumptions!L$111*(1-Assumptions!$C$26)</f>
        <v>7928.5</v>
      </c>
      <c r="M76" s="77">
        <f>Assumptions!$C$20*Assumptions!M$111*(1-Assumptions!$C$26)</f>
        <v>8242.5</v>
      </c>
      <c r="N76" s="77">
        <f>Assumptions!$C$20*Assumptions!N$111*(1-Assumptions!$C$26)</f>
        <v>8478</v>
      </c>
      <c r="O76" s="77">
        <f>Assumptions!$C$20*Assumptions!O$111*(1-Assumptions!$C$26)</f>
        <v>8635</v>
      </c>
      <c r="P76" s="77">
        <f>Assumptions!$C$20*Assumptions!P$111*(1-Assumptions!$C$26)</f>
        <v>8792</v>
      </c>
      <c r="Q76" s="77">
        <f>SUM(D76:P76)</f>
        <v>103855.5</v>
      </c>
      <c r="R76" s="68">
        <f>AVERAGE(D76:P76)</f>
        <v>7988.8846153846152</v>
      </c>
    </row>
    <row r="77" spans="2:18" ht="13.5" customHeight="1" x14ac:dyDescent="0.35">
      <c r="B77" s="78" t="s">
        <v>326</v>
      </c>
      <c r="C77" s="21"/>
      <c r="D77" s="79">
        <f t="shared" ref="D77:P77" si="15">SUM(D73:D76)</f>
        <v>46577.1</v>
      </c>
      <c r="E77" s="79">
        <f t="shared" si="15"/>
        <v>74376.56</v>
      </c>
      <c r="F77" s="79">
        <f t="shared" si="15"/>
        <v>45710.539999999994</v>
      </c>
      <c r="G77" s="79">
        <f t="shared" si="15"/>
        <v>45034.8</v>
      </c>
      <c r="H77" s="79">
        <f t="shared" si="15"/>
        <v>46705.16</v>
      </c>
      <c r="I77" s="79">
        <f t="shared" si="15"/>
        <v>48350.74</v>
      </c>
      <c r="J77" s="79">
        <f t="shared" si="15"/>
        <v>68135.399999999994</v>
      </c>
      <c r="K77" s="79">
        <f t="shared" si="15"/>
        <v>50402.74</v>
      </c>
      <c r="L77" s="79">
        <f t="shared" si="15"/>
        <v>49266.86</v>
      </c>
      <c r="M77" s="79">
        <f t="shared" si="15"/>
        <v>51181.759999999995</v>
      </c>
      <c r="N77" s="79">
        <f t="shared" si="15"/>
        <v>85444.12</v>
      </c>
      <c r="O77" s="79">
        <f t="shared" si="15"/>
        <v>54419.199999999997</v>
      </c>
      <c r="P77" s="79">
        <f t="shared" si="15"/>
        <v>82025.48</v>
      </c>
      <c r="Q77" s="79">
        <f>SUM(D77:P77)</f>
        <v>747630.46</v>
      </c>
      <c r="R77" s="79">
        <f>AVERAGE(D77:P77)</f>
        <v>57510.035384615381</v>
      </c>
    </row>
    <row r="78" spans="2:18" ht="6" customHeight="1" x14ac:dyDescent="0.35">
      <c r="B78" s="3"/>
      <c r="C78" s="3"/>
      <c r="D78" s="3"/>
      <c r="E78" s="3"/>
      <c r="F78" s="3"/>
      <c r="G78" s="3"/>
      <c r="H78" s="3"/>
      <c r="I78" s="3"/>
      <c r="J78" s="3"/>
      <c r="K78" s="3"/>
      <c r="L78" s="3"/>
      <c r="M78" s="3"/>
      <c r="N78" s="3"/>
      <c r="O78" s="3"/>
      <c r="P78" s="3"/>
      <c r="Q78" s="3"/>
      <c r="R78" s="3"/>
    </row>
    <row r="79" spans="2:18" ht="15.75" customHeight="1" x14ac:dyDescent="0.35">
      <c r="B79" s="74" t="s">
        <v>327</v>
      </c>
      <c r="C79" s="74"/>
      <c r="D79" s="74"/>
      <c r="E79" s="74"/>
      <c r="F79" s="74"/>
      <c r="G79" s="74"/>
      <c r="H79" s="74"/>
      <c r="I79" s="74"/>
      <c r="J79" s="74"/>
      <c r="K79" s="74"/>
      <c r="L79" s="74"/>
      <c r="M79" s="74"/>
      <c r="N79" s="74"/>
      <c r="O79" s="74"/>
      <c r="P79" s="74"/>
      <c r="Q79" s="74"/>
      <c r="R79" s="74"/>
    </row>
    <row r="80" spans="2:18" ht="13.5" customHeight="1" x14ac:dyDescent="0.35">
      <c r="B80" s="75" t="s">
        <v>187</v>
      </c>
      <c r="C80" s="21"/>
      <c r="D80" s="80">
        <f>D73*(1-Assumptions!$C$28)</f>
        <v>7613.7179999999998</v>
      </c>
      <c r="E80" s="80">
        <f>E73*(1-Assumptions!$C$28)</f>
        <v>8655.5951999999997</v>
      </c>
      <c r="F80" s="80">
        <f>F73*(1-Assumptions!$C$28)</f>
        <v>7373.2848000000004</v>
      </c>
      <c r="G80" s="80">
        <f>G73*(1-Assumptions!$C$28)</f>
        <v>7212.9960000000001</v>
      </c>
      <c r="H80" s="80">
        <f>H73*(1-Assumptions!$C$28)</f>
        <v>7453.4292000000005</v>
      </c>
      <c r="I80" s="80">
        <f>I73*(1-Assumptions!$C$28)</f>
        <v>7774.0067999999992</v>
      </c>
      <c r="J80" s="80">
        <f>J73*(1-Assumptions!$C$28)</f>
        <v>8014.4400000000005</v>
      </c>
      <c r="K80" s="80">
        <f>K73*(1-Assumptions!$C$28)</f>
        <v>8174.7288000000008</v>
      </c>
      <c r="L80" s="80">
        <f>L73*(1-Assumptions!$C$28)</f>
        <v>7854.1512000000012</v>
      </c>
      <c r="M80" s="80">
        <f>M73*(1-Assumptions!$C$28)</f>
        <v>8254.8732</v>
      </c>
      <c r="N80" s="80">
        <f>N73*(1-Assumptions!$C$28)</f>
        <v>8495.3063999999995</v>
      </c>
      <c r="O80" s="80">
        <f>O73*(1-Assumptions!$C$28)</f>
        <v>8815.884</v>
      </c>
      <c r="P80" s="80">
        <f>P73*(1-Assumptions!$C$28)</f>
        <v>9136.4615999999987</v>
      </c>
      <c r="Q80" s="80">
        <f>SUM(D80:P80)</f>
        <v>104828.87520000001</v>
      </c>
      <c r="R80" s="68">
        <f>AVERAGE(D80:P80)</f>
        <v>8063.7596307692311</v>
      </c>
    </row>
    <row r="81" spans="2:18" ht="13.5" customHeight="1" x14ac:dyDescent="0.35">
      <c r="B81" s="75" t="s">
        <v>188</v>
      </c>
      <c r="C81" s="21"/>
      <c r="D81" s="80">
        <f>D74*(1-Assumptions!$C$29)</f>
        <v>8365.2800000000007</v>
      </c>
      <c r="E81" s="80">
        <f>E74*(1-Assumptions!$C$29)</f>
        <v>9055.2000000000007</v>
      </c>
      <c r="F81" s="80">
        <f>F74*(1-Assumptions!$C$29)</f>
        <v>8279.0399999999991</v>
      </c>
      <c r="G81" s="80">
        <f>G74*(1-Assumptions!$C$29)</f>
        <v>8192.8000000000011</v>
      </c>
      <c r="H81" s="80">
        <f>H74*(1-Assumptions!$C$29)</f>
        <v>8537.76</v>
      </c>
      <c r="I81" s="80">
        <f>I74*(1-Assumptions!$C$29)</f>
        <v>8796.4800000000014</v>
      </c>
      <c r="J81" s="80">
        <f>J74*(1-Assumptions!$C$29)</f>
        <v>8968.9600000000009</v>
      </c>
      <c r="K81" s="80">
        <f>K74*(1-Assumptions!$C$29)</f>
        <v>9141.44</v>
      </c>
      <c r="L81" s="80">
        <f>L74*(1-Assumptions!$C$29)</f>
        <v>9055.2000000000007</v>
      </c>
      <c r="M81" s="80">
        <f>M74*(1-Assumptions!$C$29)</f>
        <v>9313.92</v>
      </c>
      <c r="N81" s="80">
        <f>N74*(1-Assumptions!$C$29)</f>
        <v>9658.8800000000028</v>
      </c>
      <c r="O81" s="80">
        <f>O74*(1-Assumptions!$C$29)</f>
        <v>9917.5999999999985</v>
      </c>
      <c r="P81" s="80">
        <f>P74*(1-Assumptions!$C$29)</f>
        <v>10348.800000000001</v>
      </c>
      <c r="Q81" s="80">
        <f>SUM(D81:P81)</f>
        <v>117631.36</v>
      </c>
      <c r="R81" s="68">
        <f>AVERAGE(D81:P81)</f>
        <v>9048.5661538461536</v>
      </c>
    </row>
    <row r="82" spans="2:18" ht="13.5" customHeight="1" x14ac:dyDescent="0.35">
      <c r="B82" s="75" t="s">
        <v>189</v>
      </c>
      <c r="C82" s="21"/>
      <c r="D82" s="80">
        <f>D75*(1-Assumptions!$C$30)</f>
        <v>0</v>
      </c>
      <c r="E82" s="80">
        <f>E75*(1-Assumptions!$C$30)</f>
        <v>8380.7999999999993</v>
      </c>
      <c r="F82" s="80">
        <f>F75*(1-Assumptions!$C$30)</f>
        <v>0</v>
      </c>
      <c r="G82" s="80">
        <f>G75*(1-Assumptions!$C$30)</f>
        <v>0</v>
      </c>
      <c r="H82" s="80">
        <f>H75*(1-Assumptions!$C$30)</f>
        <v>0</v>
      </c>
      <c r="I82" s="80">
        <f>I75*(1-Assumptions!$C$30)</f>
        <v>0</v>
      </c>
      <c r="J82" s="80">
        <f>J75*(1-Assumptions!$C$30)</f>
        <v>6704.6399999999994</v>
      </c>
      <c r="K82" s="80">
        <f>K75*(1-Assumptions!$C$30)</f>
        <v>0</v>
      </c>
      <c r="L82" s="80">
        <f>L75*(1-Assumptions!$C$30)</f>
        <v>0</v>
      </c>
      <c r="M82" s="80">
        <f>M75*(1-Assumptions!$C$30)</f>
        <v>0</v>
      </c>
      <c r="N82" s="80">
        <f>N75*(1-Assumptions!$C$30)</f>
        <v>11733.119999999999</v>
      </c>
      <c r="O82" s="80">
        <f>O75*(1-Assumptions!$C$30)</f>
        <v>0</v>
      </c>
      <c r="P82" s="80">
        <f>P75*(1-Assumptions!$C$30)</f>
        <v>9218.880000000001</v>
      </c>
      <c r="Q82" s="80">
        <f>SUM(D82:P82)</f>
        <v>36037.440000000002</v>
      </c>
      <c r="R82" s="68">
        <f>AVERAGE(D82:P82)</f>
        <v>2772.1107692307696</v>
      </c>
    </row>
    <row r="83" spans="2:18" ht="13.5" customHeight="1" x14ac:dyDescent="0.35">
      <c r="B83" s="75" t="s">
        <v>190</v>
      </c>
      <c r="C83" s="21"/>
      <c r="D83" s="80">
        <f>D76*(1-Assumptions!$C$31)</f>
        <v>3014.4</v>
      </c>
      <c r="E83" s="80">
        <f>E76*(1-Assumptions!$C$31)</f>
        <v>3140</v>
      </c>
      <c r="F83" s="80">
        <f>F76*(1-Assumptions!$C$31)</f>
        <v>2983</v>
      </c>
      <c r="G83" s="80">
        <f>G76*(1-Assumptions!$C$31)</f>
        <v>2951.6000000000004</v>
      </c>
      <c r="H83" s="80">
        <f>H76*(1-Assumptions!$C$31)</f>
        <v>3045.8</v>
      </c>
      <c r="I83" s="80">
        <f>I76*(1-Assumptions!$C$31)</f>
        <v>3140</v>
      </c>
      <c r="J83" s="80">
        <f>J76*(1-Assumptions!$C$31)</f>
        <v>3202.8</v>
      </c>
      <c r="K83" s="80">
        <f>K76*(1-Assumptions!$C$31)</f>
        <v>3234.2000000000003</v>
      </c>
      <c r="L83" s="80">
        <f>L76*(1-Assumptions!$C$31)</f>
        <v>3171.4</v>
      </c>
      <c r="M83" s="80">
        <f>M76*(1-Assumptions!$C$31)</f>
        <v>3297</v>
      </c>
      <c r="N83" s="80">
        <f>N76*(1-Assumptions!$C$31)</f>
        <v>3391.2000000000003</v>
      </c>
      <c r="O83" s="80">
        <f>O76*(1-Assumptions!$C$31)</f>
        <v>3454</v>
      </c>
      <c r="P83" s="80">
        <f>P76*(1-Assumptions!$C$31)</f>
        <v>3516.8</v>
      </c>
      <c r="Q83" s="80">
        <f>SUM(D83:P83)</f>
        <v>41542.200000000004</v>
      </c>
      <c r="R83" s="68">
        <f>AVERAGE(D83:P83)</f>
        <v>3195.5538461538463</v>
      </c>
    </row>
    <row r="84" spans="2:18" ht="13.5" customHeight="1" x14ac:dyDescent="0.35">
      <c r="B84" s="78" t="s">
        <v>328</v>
      </c>
      <c r="C84" s="21"/>
      <c r="D84" s="79">
        <f t="shared" ref="D84:P84" si="16">SUM(D80:D83)</f>
        <v>18993.398000000001</v>
      </c>
      <c r="E84" s="79">
        <f t="shared" si="16"/>
        <v>29231.5952</v>
      </c>
      <c r="F84" s="79">
        <f t="shared" si="16"/>
        <v>18635.324799999999</v>
      </c>
      <c r="G84" s="79">
        <f t="shared" si="16"/>
        <v>18357.396000000001</v>
      </c>
      <c r="H84" s="79">
        <f t="shared" si="16"/>
        <v>19036.9892</v>
      </c>
      <c r="I84" s="79">
        <f t="shared" si="16"/>
        <v>19710.486799999999</v>
      </c>
      <c r="J84" s="79">
        <f t="shared" si="16"/>
        <v>26890.84</v>
      </c>
      <c r="K84" s="79">
        <f t="shared" si="16"/>
        <v>20550.3688</v>
      </c>
      <c r="L84" s="79">
        <f t="shared" si="16"/>
        <v>20080.751200000002</v>
      </c>
      <c r="M84" s="79">
        <f t="shared" si="16"/>
        <v>20865.7932</v>
      </c>
      <c r="N84" s="79">
        <f t="shared" si="16"/>
        <v>33278.506399999998</v>
      </c>
      <c r="O84" s="79">
        <f t="shared" si="16"/>
        <v>22187.483999999997</v>
      </c>
      <c r="P84" s="79">
        <f t="shared" si="16"/>
        <v>32220.941599999998</v>
      </c>
      <c r="Q84" s="79">
        <f>SUM(D84:P84)</f>
        <v>300039.87520000001</v>
      </c>
      <c r="R84" s="79">
        <f>AVERAGE(D84:P84)</f>
        <v>23079.990400000002</v>
      </c>
    </row>
    <row r="85" spans="2:18" ht="6" customHeight="1" x14ac:dyDescent="0.35">
      <c r="B85" s="3"/>
      <c r="C85" s="3"/>
      <c r="D85" s="3"/>
      <c r="E85" s="3"/>
      <c r="F85" s="3"/>
      <c r="G85" s="3"/>
      <c r="H85" s="3"/>
      <c r="I85" s="3"/>
      <c r="J85" s="3"/>
      <c r="K85" s="3"/>
      <c r="L85" s="3"/>
      <c r="M85" s="3"/>
      <c r="N85" s="3"/>
      <c r="O85" s="3"/>
      <c r="P85" s="3"/>
      <c r="Q85" s="3"/>
      <c r="R85" s="3"/>
    </row>
    <row r="86" spans="2:18" ht="15.75" customHeight="1" x14ac:dyDescent="0.35">
      <c r="B86" s="74" t="s">
        <v>329</v>
      </c>
      <c r="C86" s="74"/>
      <c r="D86" s="74"/>
      <c r="E86" s="74"/>
      <c r="F86" s="74"/>
      <c r="G86" s="74"/>
      <c r="H86" s="74"/>
      <c r="I86" s="74"/>
      <c r="J86" s="74"/>
      <c r="K86" s="74"/>
      <c r="L86" s="74"/>
      <c r="M86" s="74"/>
      <c r="N86" s="74"/>
      <c r="O86" s="74"/>
      <c r="P86" s="74"/>
      <c r="Q86" s="74"/>
      <c r="R86" s="74"/>
    </row>
    <row r="87" spans="2:18" ht="13.5" customHeight="1" x14ac:dyDescent="0.35">
      <c r="B87" s="75" t="s">
        <v>330</v>
      </c>
      <c r="C87" s="59" t="s">
        <v>151</v>
      </c>
      <c r="D87" s="80">
        <f>D84*Assumptions!$C$76</f>
        <v>11016.170840000001</v>
      </c>
      <c r="E87" s="80">
        <f>E84*Assumptions!$C$76</f>
        <v>16954.325215999997</v>
      </c>
      <c r="F87" s="80">
        <f>F84*Assumptions!$C$76</f>
        <v>10808.488383999998</v>
      </c>
      <c r="G87" s="80">
        <f>G84*Assumptions!$C$76</f>
        <v>10647.28968</v>
      </c>
      <c r="H87" s="80">
        <f>H84*Assumptions!$C$76</f>
        <v>11041.453735999999</v>
      </c>
      <c r="I87" s="80">
        <f>I84*Assumptions!$C$76</f>
        <v>11432.082343999999</v>
      </c>
      <c r="J87" s="80">
        <f>J84*Assumptions!$C$76</f>
        <v>15596.687199999998</v>
      </c>
      <c r="K87" s="80">
        <f>K84*Assumptions!$C$76</f>
        <v>11919.213904</v>
      </c>
      <c r="L87" s="80">
        <f>L84*Assumptions!$C$76</f>
        <v>11646.835696</v>
      </c>
      <c r="M87" s="80">
        <f>M84*Assumptions!$C$76</f>
        <v>12102.160055999999</v>
      </c>
      <c r="N87" s="80">
        <f>N84*Assumptions!$C$76</f>
        <v>19301.533711999997</v>
      </c>
      <c r="O87" s="80">
        <f>O84*Assumptions!$C$76</f>
        <v>12868.740719999998</v>
      </c>
      <c r="P87" s="80">
        <f>P84*Assumptions!$C$76</f>
        <v>18688.146127999997</v>
      </c>
      <c r="Q87" s="80">
        <f>SUM(D87:P87)</f>
        <v>174023.12761599998</v>
      </c>
      <c r="R87" s="68">
        <f>AVERAGE(D87:P87)</f>
        <v>13386.394431999999</v>
      </c>
    </row>
    <row r="88" spans="2:18" ht="13.5" customHeight="1" x14ac:dyDescent="0.35">
      <c r="B88" s="75" t="s">
        <v>331</v>
      </c>
      <c r="C88" s="59" t="s">
        <v>332</v>
      </c>
      <c r="D88" s="80">
        <f>SUMIFS(Assumptions!$C$116:$C$119,Assumptions!$D$116:$D$119,D$6)</f>
        <v>0</v>
      </c>
      <c r="E88" s="80">
        <f>SUMIFS(Assumptions!$C$116:$C$119,Assumptions!$D$116:$D$119,E$6)</f>
        <v>54000</v>
      </c>
      <c r="F88" s="80">
        <f>SUMIFS(Assumptions!$C$116:$C$119,Assumptions!$D$116:$D$119,F$6)</f>
        <v>0</v>
      </c>
      <c r="G88" s="80">
        <f>SUMIFS(Assumptions!$C$116:$C$119,Assumptions!$D$116:$D$119,G$6)</f>
        <v>0</v>
      </c>
      <c r="H88" s="80">
        <f>SUMIFS(Assumptions!$C$116:$C$119,Assumptions!$D$116:$D$119,H$6)</f>
        <v>46000</v>
      </c>
      <c r="I88" s="80">
        <f>SUMIFS(Assumptions!$C$116:$C$119,Assumptions!$D$116:$D$119,I$6)</f>
        <v>0</v>
      </c>
      <c r="J88" s="80">
        <f>SUMIFS(Assumptions!$C$116:$C$119,Assumptions!$D$116:$D$119,J$6)</f>
        <v>0</v>
      </c>
      <c r="K88" s="80">
        <f>SUMIFS(Assumptions!$C$116:$C$119,Assumptions!$D$116:$D$119,K$6)</f>
        <v>82000</v>
      </c>
      <c r="L88" s="80">
        <f>SUMIFS(Assumptions!$C$116:$C$119,Assumptions!$D$116:$D$119,L$6)</f>
        <v>0</v>
      </c>
      <c r="M88" s="80">
        <f>SUMIFS(Assumptions!$C$116:$C$119,Assumptions!$D$116:$D$119,M$6)</f>
        <v>0</v>
      </c>
      <c r="N88" s="80">
        <f>SUMIFS(Assumptions!$C$116:$C$119,Assumptions!$D$116:$D$119,N$6)</f>
        <v>53000</v>
      </c>
      <c r="O88" s="80">
        <f>SUMIFS(Assumptions!$C$116:$C$119,Assumptions!$D$116:$D$119,O$6)</f>
        <v>0</v>
      </c>
      <c r="P88" s="80">
        <f>SUMIFS(Assumptions!$C$116:$C$119,Assumptions!$D$116:$D$119,P$6)</f>
        <v>0</v>
      </c>
      <c r="Q88" s="80">
        <f>SUM(D88:P88)</f>
        <v>235000</v>
      </c>
      <c r="R88" s="68">
        <f>AVERAGE(D88:P88)</f>
        <v>18076.923076923078</v>
      </c>
    </row>
    <row r="89" spans="2:18" ht="13.5" customHeight="1" x14ac:dyDescent="0.35">
      <c r="B89" s="78" t="s">
        <v>333</v>
      </c>
      <c r="C89" s="21"/>
      <c r="D89" s="79">
        <f t="shared" ref="D89:P89" si="17">D87+D88</f>
        <v>11016.170840000001</v>
      </c>
      <c r="E89" s="79">
        <f t="shared" si="17"/>
        <v>70954.325215999997</v>
      </c>
      <c r="F89" s="79">
        <f t="shared" si="17"/>
        <v>10808.488383999998</v>
      </c>
      <c r="G89" s="79">
        <f t="shared" si="17"/>
        <v>10647.28968</v>
      </c>
      <c r="H89" s="79">
        <f t="shared" si="17"/>
        <v>57041.453735999996</v>
      </c>
      <c r="I89" s="79">
        <f t="shared" si="17"/>
        <v>11432.082343999999</v>
      </c>
      <c r="J89" s="79">
        <f t="shared" si="17"/>
        <v>15596.687199999998</v>
      </c>
      <c r="K89" s="79">
        <f t="shared" si="17"/>
        <v>93919.213904000004</v>
      </c>
      <c r="L89" s="79">
        <f t="shared" si="17"/>
        <v>11646.835696</v>
      </c>
      <c r="M89" s="79">
        <f t="shared" si="17"/>
        <v>12102.160055999999</v>
      </c>
      <c r="N89" s="79">
        <f t="shared" si="17"/>
        <v>72301.533712000004</v>
      </c>
      <c r="O89" s="79">
        <f t="shared" si="17"/>
        <v>12868.740719999998</v>
      </c>
      <c r="P89" s="79">
        <f t="shared" si="17"/>
        <v>18688.146127999997</v>
      </c>
      <c r="Q89" s="79">
        <f>SUM(D89:P89)</f>
        <v>409023.12761600001</v>
      </c>
      <c r="R89" s="79">
        <f>AVERAGE(D89:P89)</f>
        <v>31463.317508923079</v>
      </c>
    </row>
    <row r="91" spans="2:18" x14ac:dyDescent="0.35">
      <c r="B91" s="166" t="s">
        <v>637</v>
      </c>
    </row>
    <row r="92" spans="2:18" x14ac:dyDescent="0.35">
      <c r="B92" s="166" t="s">
        <v>638</v>
      </c>
      <c r="C92" s="166" t="s">
        <v>639</v>
      </c>
      <c r="D92" s="166" t="s">
        <v>640</v>
      </c>
      <c r="E92" s="166" t="s">
        <v>641</v>
      </c>
      <c r="F92" s="166" t="s">
        <v>642</v>
      </c>
      <c r="G92" s="166" t="s">
        <v>643</v>
      </c>
      <c r="H92" s="166" t="s">
        <v>282</v>
      </c>
      <c r="I92" s="166" t="s">
        <v>644</v>
      </c>
    </row>
    <row r="93" spans="2:18" x14ac:dyDescent="0.35">
      <c r="B93" t="s">
        <v>645</v>
      </c>
      <c r="D93" s="164">
        <f>Assumptions!$C$79</f>
        <v>1</v>
      </c>
      <c r="E93" s="164">
        <f>Assumptions!$C$80</f>
        <v>5</v>
      </c>
      <c r="F93" s="164">
        <f>Assumptions!$C$81</f>
        <v>10</v>
      </c>
      <c r="G93" s="164">
        <f>Assumptions!$C$82</f>
        <v>15</v>
      </c>
      <c r="H93" s="164">
        <f>Assumptions!$C$83</f>
        <v>20</v>
      </c>
      <c r="I93" s="164">
        <f>31</f>
        <v>31</v>
      </c>
    </row>
    <row r="94" spans="2:18" x14ac:dyDescent="0.35">
      <c r="B94" t="str">
        <f>TEXT(C94,"mmm yy")</f>
        <v>Aug 26</v>
      </c>
      <c r="C94" s="168">
        <f>DATE(YEAR($D$7),MONTH($D$7),1)</f>
        <v>46235</v>
      </c>
      <c r="D94" s="165">
        <f t="shared" ref="D94:I94" si="18">IF(AND(MIN(DATE(YEAR($C94),MONTH($C94),D$93),EOMONTH($C94,0))&gt;=$D$7,MIN(DATE(YEAR($C94),MONTH($C94),D$93),EOMONTH($C94,0))&lt;=$P$8),1,0)</f>
        <v>0</v>
      </c>
      <c r="E94" s="165">
        <f t="shared" si="18"/>
        <v>1</v>
      </c>
      <c r="F94" s="165">
        <f t="shared" si="18"/>
        <v>1</v>
      </c>
      <c r="G94" s="165">
        <f t="shared" si="18"/>
        <v>1</v>
      </c>
      <c r="H94" s="165">
        <f t="shared" si="18"/>
        <v>1</v>
      </c>
      <c r="I94" s="165">
        <f t="shared" si="18"/>
        <v>1</v>
      </c>
    </row>
    <row r="95" spans="2:18" x14ac:dyDescent="0.35">
      <c r="B95" t="str">
        <f>TEXT(C95,"mmm yy")</f>
        <v>Sep 26</v>
      </c>
      <c r="C95" s="168">
        <f>EOMONTH(C94,0)+1</f>
        <v>46266</v>
      </c>
      <c r="D95" s="165">
        <f t="shared" ref="D95:I95" si="19">IF(AND(MIN(DATE(YEAR($C95),MONTH($C95),D$93),EOMONTH($C95,0))&gt;=$D$7,MIN(DATE(YEAR($C95),MONTH($C95),D$93),EOMONTH($C95,0))&lt;=$P$8),1,0)</f>
        <v>1</v>
      </c>
      <c r="E95" s="165">
        <f t="shared" si="19"/>
        <v>1</v>
      </c>
      <c r="F95" s="165">
        <f t="shared" si="19"/>
        <v>1</v>
      </c>
      <c r="G95" s="165">
        <f t="shared" si="19"/>
        <v>1</v>
      </c>
      <c r="H95" s="165">
        <f t="shared" si="19"/>
        <v>1</v>
      </c>
      <c r="I95" s="165">
        <f t="shared" si="19"/>
        <v>1</v>
      </c>
    </row>
    <row r="96" spans="2:18" x14ac:dyDescent="0.35">
      <c r="B96" t="str">
        <f>TEXT(C96,"mmm yy")</f>
        <v>Oct 26</v>
      </c>
      <c r="C96" s="168">
        <f>EOMONTH(C95,0)+1</f>
        <v>46296</v>
      </c>
      <c r="D96" s="165">
        <f t="shared" ref="D96:I96" si="20">IF(AND(MIN(DATE(YEAR($C96),MONTH($C96),D$93),EOMONTH($C96,0))&gt;=$D$7,MIN(DATE(YEAR($C96),MONTH($C96),D$93),EOMONTH($C96,0))&lt;=$P$8),1,0)</f>
        <v>1</v>
      </c>
      <c r="E96" s="165">
        <f t="shared" si="20"/>
        <v>1</v>
      </c>
      <c r="F96" s="165">
        <f t="shared" si="20"/>
        <v>1</v>
      </c>
      <c r="G96" s="165">
        <f t="shared" si="20"/>
        <v>1</v>
      </c>
      <c r="H96" s="165">
        <f t="shared" si="20"/>
        <v>1</v>
      </c>
      <c r="I96" s="165">
        <f t="shared" si="20"/>
        <v>1</v>
      </c>
    </row>
    <row r="97" spans="2:9" x14ac:dyDescent="0.35">
      <c r="B97" t="str">
        <f>TEXT(C97,"mmm yy")</f>
        <v>Nov 26</v>
      </c>
      <c r="C97" s="168">
        <f>EOMONTH(C96,0)+1</f>
        <v>46327</v>
      </c>
      <c r="D97" s="165">
        <f t="shared" ref="D97:I97" si="21">IF(AND(MIN(DATE(YEAR($C97),MONTH($C97),D$93),EOMONTH($C97,0))&gt;=$D$7,MIN(DATE(YEAR($C97),MONTH($C97),D$93),EOMONTH($C97,0))&lt;=$P$8),1,0)</f>
        <v>1</v>
      </c>
      <c r="E97" s="165">
        <f t="shared" si="21"/>
        <v>0</v>
      </c>
      <c r="F97" s="165">
        <f t="shared" si="21"/>
        <v>0</v>
      </c>
      <c r="G97" s="165">
        <f t="shared" si="21"/>
        <v>0</v>
      </c>
      <c r="H97" s="165">
        <f t="shared" si="21"/>
        <v>0</v>
      </c>
      <c r="I97" s="165">
        <f t="shared" si="21"/>
        <v>0</v>
      </c>
    </row>
    <row r="98" spans="2:9" x14ac:dyDescent="0.35">
      <c r="B98" t="str">
        <f>TEXT(C98,"mmm yy")</f>
        <v>Dec 26</v>
      </c>
      <c r="C98" s="168">
        <f>EOMONTH(C97,0)+1</f>
        <v>46357</v>
      </c>
      <c r="D98" s="165">
        <f t="shared" ref="D98:I98" si="22">IF(AND(MIN(DATE(YEAR($C98),MONTH($C98),D$93),EOMONTH($C98,0))&gt;=$D$7,MIN(DATE(YEAR($C98),MONTH($C98),D$93),EOMONTH($C98,0))&lt;=$P$8),1,0)</f>
        <v>0</v>
      </c>
      <c r="E98" s="165">
        <f t="shared" si="22"/>
        <v>0</v>
      </c>
      <c r="F98" s="165">
        <f t="shared" si="22"/>
        <v>0</v>
      </c>
      <c r="G98" s="165">
        <f t="shared" si="22"/>
        <v>0</v>
      </c>
      <c r="H98" s="165">
        <f t="shared" si="22"/>
        <v>0</v>
      </c>
      <c r="I98" s="165">
        <f t="shared" si="22"/>
        <v>0</v>
      </c>
    </row>
    <row r="99" spans="2:9" x14ac:dyDescent="0.35">
      <c r="B99" s="166" t="s">
        <v>646</v>
      </c>
      <c r="C99" s="166"/>
      <c r="D99" s="167">
        <f t="shared" ref="D99:I99" si="23">SUM(D94:D98)</f>
        <v>3</v>
      </c>
      <c r="E99" s="167">
        <f t="shared" si="23"/>
        <v>3</v>
      </c>
      <c r="F99" s="167">
        <f t="shared" si="23"/>
        <v>3</v>
      </c>
      <c r="G99" s="167">
        <f t="shared" si="23"/>
        <v>3</v>
      </c>
      <c r="H99" s="167">
        <f t="shared" si="23"/>
        <v>3</v>
      </c>
      <c r="I99" s="167">
        <f t="shared" si="23"/>
        <v>3</v>
      </c>
    </row>
    <row r="100" spans="2:9" x14ac:dyDescent="0.35">
      <c r="B100" s="166" t="s">
        <v>647</v>
      </c>
      <c r="C100" s="166"/>
      <c r="D100" s="167">
        <f>SUM($D$65:$P$65)</f>
        <v>3</v>
      </c>
      <c r="E100" s="167">
        <f>SUM($D$66:$P$66)</f>
        <v>3</v>
      </c>
      <c r="F100" s="167">
        <f>SUM($D$67:$P$67)</f>
        <v>3</v>
      </c>
      <c r="G100" s="167">
        <f>SUM($D$68:$P$68)</f>
        <v>3</v>
      </c>
      <c r="H100" s="167">
        <f>SUM($D$69:$P$69)</f>
        <v>3</v>
      </c>
      <c r="I100" s="167">
        <f>SUM($D$70:$P$70)</f>
        <v>3</v>
      </c>
    </row>
    <row r="101" spans="2:9" x14ac:dyDescent="0.35">
      <c r="B101" s="166" t="s">
        <v>648</v>
      </c>
      <c r="C101" s="166"/>
      <c r="D101" s="167">
        <f t="shared" ref="D101:I101" si="24">D100-D99</f>
        <v>0</v>
      </c>
      <c r="E101" s="167">
        <f t="shared" si="24"/>
        <v>0</v>
      </c>
      <c r="F101" s="167">
        <f t="shared" si="24"/>
        <v>0</v>
      </c>
      <c r="G101" s="167">
        <f t="shared" si="24"/>
        <v>0</v>
      </c>
      <c r="H101" s="167">
        <f t="shared" si="24"/>
        <v>0</v>
      </c>
      <c r="I101" s="167">
        <f t="shared" si="24"/>
        <v>0</v>
      </c>
    </row>
    <row r="102" spans="2:9" x14ac:dyDescent="0.35">
      <c r="B102" t="s">
        <v>649</v>
      </c>
    </row>
  </sheetData>
  <conditionalFormatting sqref="D5:P5">
    <cfRule type="expression" dxfId="21" priority="6">
      <formula>D$40=MIN($D$40:$P$40)</formula>
    </cfRule>
  </conditionalFormatting>
  <conditionalFormatting sqref="D39:P39">
    <cfRule type="cellIs" dxfId="20" priority="5" operator="lessThan">
      <formula>0</formula>
    </cfRule>
  </conditionalFormatting>
  <conditionalFormatting sqref="D40:P40">
    <cfRule type="expression" dxfId="19" priority="2">
      <formula>D40&lt;D$41</formula>
    </cfRule>
    <cfRule type="expression" dxfId="18" priority="3">
      <formula>D40&lt;D$41*1.15</formula>
    </cfRule>
  </conditionalFormatting>
  <conditionalFormatting sqref="D42:P42">
    <cfRule type="cellIs" dxfId="17" priority="4" operator="lessThan">
      <formula>0</formula>
    </cfRule>
  </conditionalFormatting>
  <hyperlinks>
    <hyperlink ref="R3" location="'Dashboard'!A1" display="Back to Dashboard" xr:uid="{00000000-0004-0000-0200-000000000000}"/>
  </hyperlinks>
  <pageMargins left="0.35" right="0.35" top="0.45" bottom="0.45" header="0.511811023622047" footer="0.25"/>
  <pageSetup paperSize="9" fitToHeight="0" orientation="landscape" horizontalDpi="300" verticalDpi="300"/>
  <headerFooter>
    <oddFooter>&amp;L&amp;8 &amp;K808080Atelier North Pte. Ltd.  ·  synthetic FP&amp;&amp;A portfolio model&amp;R&amp;8 &amp;K808080&amp;A  ·  &amp;P / &amp;N</oddFooter>
  </headerFooter>
  <rowBreaks count="1" manualBreakCount="1">
    <brk id="6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2F4B"/>
    <pageSetUpPr fitToPage="1"/>
  </sheetPr>
  <dimension ref="B1:Q186"/>
  <sheetViews>
    <sheetView showGridLines="0" zoomScale="85" zoomScaleNormal="85" workbookViewId="0">
      <pane xSplit="3" ySplit="6" topLeftCell="D7" activePane="bottomRight" state="frozen"/>
      <selection pane="topRight" activeCell="D1" sqref="D1"/>
      <selection pane="bottomLeft" activeCell="A7" sqref="A7"/>
      <selection pane="bottomRight" activeCell="B2" sqref="B2"/>
    </sheetView>
  </sheetViews>
  <sheetFormatPr defaultColWidth="8.54296875" defaultRowHeight="14.5" x14ac:dyDescent="0.35"/>
  <cols>
    <col min="1" max="1" width="1.6328125" customWidth="1"/>
    <col min="2" max="2" width="52" customWidth="1"/>
    <col min="3" max="3" width="15" customWidth="1"/>
    <col min="4" max="16" width="13.1796875" customWidth="1"/>
    <col min="17" max="17" width="14" customWidth="1"/>
  </cols>
  <sheetData>
    <row r="1" spans="2:17" ht="9" customHeight="1" x14ac:dyDescent="0.35"/>
    <row r="2" spans="2:17" ht="26" customHeight="1" x14ac:dyDescent="0.35">
      <c r="B2" s="173" t="s">
        <v>0</v>
      </c>
      <c r="C2" s="175"/>
      <c r="D2" s="175"/>
      <c r="E2" s="175"/>
      <c r="F2" s="175"/>
      <c r="G2" s="175"/>
      <c r="H2" s="175"/>
      <c r="I2" s="175"/>
      <c r="J2" s="175"/>
      <c r="K2" s="175"/>
      <c r="L2" s="175"/>
      <c r="M2" s="175"/>
      <c r="N2" s="175"/>
      <c r="O2" s="175"/>
      <c r="P2" s="175"/>
      <c r="Q2" s="174" t="s">
        <v>1</v>
      </c>
    </row>
    <row r="3" spans="2:17" ht="20" customHeight="1" x14ac:dyDescent="0.35">
      <c r="B3" s="176" t="s">
        <v>443</v>
      </c>
      <c r="C3" s="177"/>
      <c r="D3" s="177"/>
      <c r="E3" s="177"/>
      <c r="F3" s="177"/>
      <c r="G3" s="177"/>
      <c r="H3" s="177"/>
      <c r="I3" s="177"/>
      <c r="J3" s="177"/>
      <c r="K3" s="177"/>
      <c r="L3" s="177"/>
      <c r="M3" s="177"/>
      <c r="N3" s="177"/>
      <c r="O3" s="177"/>
      <c r="P3" s="177"/>
      <c r="Q3" s="178" t="s">
        <v>60</v>
      </c>
    </row>
    <row r="4" spans="2:17" ht="21" customHeight="1" x14ac:dyDescent="0.35">
      <c r="B4" s="194" t="str">
        <f>"Preferred scenario:  "&amp;INDEX($D$6:$F$6,MATCH(MAX($D$50:$F$50),$D$50:$F$50,0))&amp;"   ·   highest monthly run-rate operating profit at "&amp;TEXT(MAX($D$50:$F$50),"""S$""#,##0")&amp;", the strongest Week 13 cash position at "&amp;TEXT(INDEX($D$63:$F$63,MATCH(MAX($D$50:$F$50),$D$50:$F$50,0)),"""S$""#,##0")&amp;" and "&amp;INDEX($D$67:$F$67,MATCH(MAX($D$50:$F$50),$D$50:$F$50,0))&amp;IF(INDEX($D$67:$F$67,MATCH(MAX($D$50:$F$50),$D$50:$F$50,0))=1," week"," weeks")&amp;" below the minimum cash buffer."</f>
        <v>Preferred scenario:  2. Store Improvement   ·   highest monthly run-rate operating profit at S$27,343, the strongest Week 13 cash position at S$163,302 and 0 weeks below the minimum cash buffer.</v>
      </c>
      <c r="C4" s="194"/>
      <c r="D4" s="194"/>
      <c r="E4" s="194"/>
      <c r="F4" s="194"/>
      <c r="G4" s="194"/>
      <c r="H4" s="194"/>
      <c r="I4" s="194"/>
      <c r="J4" s="194"/>
      <c r="K4" s="194"/>
      <c r="L4" s="194"/>
      <c r="M4" s="194"/>
      <c r="N4" s="194"/>
      <c r="O4" s="194"/>
      <c r="P4" s="194"/>
      <c r="Q4" s="194"/>
    </row>
    <row r="5" spans="2:17" ht="18" customHeight="1" x14ac:dyDescent="0.35">
      <c r="B5" s="12" t="s">
        <v>444</v>
      </c>
      <c r="C5" s="12"/>
      <c r="D5" s="12"/>
      <c r="E5" s="12"/>
      <c r="F5" s="12"/>
      <c r="G5" s="12"/>
      <c r="H5" s="12"/>
      <c r="I5" s="12"/>
      <c r="J5" s="12"/>
      <c r="K5" s="12"/>
      <c r="L5" s="12"/>
      <c r="M5" s="12"/>
      <c r="N5" s="12"/>
      <c r="O5" s="12"/>
      <c r="P5" s="12"/>
      <c r="Q5" s="12"/>
    </row>
    <row r="6" spans="2:17" ht="31.5" customHeight="1" x14ac:dyDescent="0.35">
      <c r="B6" s="82" t="s">
        <v>445</v>
      </c>
      <c r="C6" s="82"/>
      <c r="D6" s="50" t="s">
        <v>446</v>
      </c>
      <c r="E6" s="119" t="s">
        <v>447</v>
      </c>
      <c r="F6" s="120" t="s">
        <v>448</v>
      </c>
      <c r="G6" s="50"/>
      <c r="H6" s="50" t="s">
        <v>449</v>
      </c>
      <c r="I6" s="50"/>
      <c r="J6" s="50"/>
      <c r="K6" s="50"/>
      <c r="L6" s="50"/>
      <c r="M6" s="50"/>
      <c r="N6" s="50"/>
      <c r="O6" s="50"/>
      <c r="P6" s="50"/>
      <c r="Q6" s="50"/>
    </row>
    <row r="7" spans="2:17" ht="15" customHeight="1" x14ac:dyDescent="0.35">
      <c r="B7" s="25" t="s">
        <v>450</v>
      </c>
      <c r="C7" s="3"/>
      <c r="D7" s="115">
        <v>0</v>
      </c>
      <c r="E7" s="115">
        <v>0.06</v>
      </c>
      <c r="F7" s="115">
        <v>0</v>
      </c>
      <c r="G7" s="3"/>
      <c r="H7" s="24" t="s">
        <v>451</v>
      </c>
      <c r="I7" s="3"/>
      <c r="J7" s="3"/>
      <c r="K7" s="3"/>
      <c r="L7" s="3"/>
      <c r="M7" s="3"/>
      <c r="N7" s="3"/>
      <c r="O7" s="3"/>
      <c r="P7" s="3"/>
      <c r="Q7" s="3"/>
    </row>
    <row r="8" spans="2:17" ht="15" customHeight="1" x14ac:dyDescent="0.35">
      <c r="B8" s="25" t="s">
        <v>452</v>
      </c>
      <c r="C8" s="3"/>
      <c r="D8" s="115">
        <v>0</v>
      </c>
      <c r="E8" s="115">
        <v>1.4999999999999999E-2</v>
      </c>
      <c r="F8" s="115">
        <v>0</v>
      </c>
      <c r="G8" s="3"/>
      <c r="H8" s="24" t="s">
        <v>453</v>
      </c>
      <c r="I8" s="3"/>
      <c r="J8" s="3"/>
      <c r="K8" s="3"/>
      <c r="L8" s="3"/>
      <c r="M8" s="3"/>
      <c r="N8" s="3"/>
      <c r="O8" s="3"/>
      <c r="P8" s="3"/>
      <c r="Q8" s="3"/>
    </row>
    <row r="9" spans="2:17" ht="15" customHeight="1" x14ac:dyDescent="0.35">
      <c r="B9" s="25" t="s">
        <v>454</v>
      </c>
      <c r="C9" s="3"/>
      <c r="D9" s="115">
        <v>0</v>
      </c>
      <c r="E9" s="115">
        <v>-0.12</v>
      </c>
      <c r="F9" s="115">
        <v>0</v>
      </c>
      <c r="G9" s="3"/>
      <c r="H9" s="24" t="s">
        <v>455</v>
      </c>
      <c r="I9" s="3"/>
      <c r="J9" s="3"/>
      <c r="K9" s="3"/>
      <c r="L9" s="3"/>
      <c r="M9" s="3"/>
      <c r="N9" s="3"/>
      <c r="O9" s="3"/>
      <c r="P9" s="3"/>
      <c r="Q9" s="3"/>
    </row>
    <row r="10" spans="2:17" ht="15" customHeight="1" x14ac:dyDescent="0.35">
      <c r="B10" s="25" t="s">
        <v>456</v>
      </c>
      <c r="C10" s="3"/>
      <c r="D10" s="115">
        <v>0</v>
      </c>
      <c r="E10" s="115">
        <v>-0.08</v>
      </c>
      <c r="F10" s="115">
        <v>0</v>
      </c>
      <c r="G10" s="3"/>
      <c r="H10" s="24" t="s">
        <v>457</v>
      </c>
      <c r="I10" s="3"/>
      <c r="J10" s="3"/>
      <c r="K10" s="3"/>
      <c r="L10" s="3"/>
      <c r="M10" s="3"/>
      <c r="N10" s="3"/>
      <c r="O10" s="3"/>
      <c r="P10" s="3"/>
      <c r="Q10" s="3"/>
    </row>
    <row r="11" spans="2:17" ht="15" customHeight="1" x14ac:dyDescent="0.35">
      <c r="B11" s="25" t="s">
        <v>458</v>
      </c>
      <c r="C11" s="3"/>
      <c r="D11" s="115">
        <v>0</v>
      </c>
      <c r="E11" s="115">
        <v>0.02</v>
      </c>
      <c r="F11" s="115">
        <v>0</v>
      </c>
      <c r="G11" s="3"/>
      <c r="H11" s="3"/>
      <c r="I11" s="3"/>
      <c r="J11" s="3"/>
      <c r="K11" s="3"/>
      <c r="L11" s="3"/>
      <c r="M11" s="3"/>
      <c r="N11" s="3"/>
      <c r="O11" s="3"/>
      <c r="P11" s="3"/>
      <c r="Q11" s="3"/>
    </row>
    <row r="12" spans="2:17" ht="15" customHeight="1" x14ac:dyDescent="0.35">
      <c r="B12" s="25" t="s">
        <v>459</v>
      </c>
      <c r="C12" s="3"/>
      <c r="D12" s="115">
        <v>0</v>
      </c>
      <c r="E12" s="115">
        <v>0</v>
      </c>
      <c r="F12" s="115">
        <v>0.25</v>
      </c>
      <c r="G12" s="3"/>
      <c r="H12" s="24" t="s">
        <v>460</v>
      </c>
      <c r="I12" s="3"/>
      <c r="J12" s="3"/>
      <c r="K12" s="3"/>
      <c r="L12" s="3"/>
      <c r="M12" s="3"/>
      <c r="N12" s="3"/>
      <c r="O12" s="3"/>
      <c r="P12" s="3"/>
      <c r="Q12" s="3"/>
    </row>
    <row r="13" spans="2:17" ht="15" customHeight="1" x14ac:dyDescent="0.35">
      <c r="B13" s="25" t="s">
        <v>461</v>
      </c>
      <c r="C13" s="3"/>
      <c r="D13" s="121">
        <v>1</v>
      </c>
      <c r="E13" s="121">
        <v>1</v>
      </c>
      <c r="F13" s="121">
        <v>1.3</v>
      </c>
      <c r="G13" s="3"/>
      <c r="H13" s="24" t="s">
        <v>462</v>
      </c>
      <c r="I13" s="3"/>
      <c r="J13" s="3"/>
      <c r="K13" s="3"/>
      <c r="L13" s="3"/>
      <c r="M13" s="3"/>
      <c r="N13" s="3"/>
      <c r="O13" s="3"/>
      <c r="P13" s="3"/>
      <c r="Q13" s="3"/>
    </row>
    <row r="14" spans="2:17" ht="15" customHeight="1" x14ac:dyDescent="0.35">
      <c r="B14" s="25" t="s">
        <v>463</v>
      </c>
      <c r="C14" s="3"/>
      <c r="D14" s="47">
        <v>0</v>
      </c>
      <c r="E14" s="47">
        <v>0</v>
      </c>
      <c r="F14" s="47">
        <v>4</v>
      </c>
      <c r="G14" s="3"/>
      <c r="H14" s="3"/>
      <c r="I14" s="3"/>
      <c r="J14" s="3"/>
      <c r="K14" s="3"/>
      <c r="L14" s="3"/>
      <c r="M14" s="3"/>
      <c r="N14" s="3"/>
      <c r="O14" s="3"/>
      <c r="P14" s="3"/>
      <c r="Q14" s="3"/>
    </row>
    <row r="15" spans="2:17" ht="15" customHeight="1" x14ac:dyDescent="0.35">
      <c r="B15" s="25" t="s">
        <v>464</v>
      </c>
      <c r="C15" s="3"/>
      <c r="D15" s="122">
        <v>0</v>
      </c>
      <c r="E15" s="122">
        <v>0</v>
      </c>
      <c r="F15" s="122">
        <v>96000</v>
      </c>
      <c r="G15" s="3"/>
      <c r="H15" s="24" t="s">
        <v>465</v>
      </c>
      <c r="I15" s="3"/>
      <c r="J15" s="3"/>
      <c r="K15" s="3"/>
      <c r="L15" s="3"/>
      <c r="M15" s="3"/>
      <c r="N15" s="3"/>
      <c r="O15" s="3"/>
      <c r="P15" s="3"/>
      <c r="Q15" s="3"/>
    </row>
    <row r="16" spans="2:17" ht="15" customHeight="1" x14ac:dyDescent="0.35">
      <c r="B16" s="25" t="s">
        <v>466</v>
      </c>
      <c r="C16" s="3"/>
      <c r="D16" s="115">
        <v>0</v>
      </c>
      <c r="E16" s="115">
        <v>0</v>
      </c>
      <c r="F16" s="115">
        <v>0.5</v>
      </c>
      <c r="G16" s="3"/>
      <c r="H16" s="3"/>
      <c r="I16" s="3"/>
      <c r="J16" s="3"/>
      <c r="K16" s="3"/>
      <c r="L16" s="3"/>
      <c r="M16" s="3"/>
      <c r="N16" s="3"/>
      <c r="O16" s="3"/>
      <c r="P16" s="3"/>
      <c r="Q16" s="3"/>
    </row>
    <row r="17" spans="2:17" ht="15" customHeight="1" x14ac:dyDescent="0.35">
      <c r="B17" s="25" t="s">
        <v>467</v>
      </c>
      <c r="C17" s="3"/>
      <c r="D17" s="47">
        <v>0</v>
      </c>
      <c r="E17" s="47">
        <v>0</v>
      </c>
      <c r="F17" s="47">
        <v>5</v>
      </c>
      <c r="G17" s="3"/>
      <c r="H17" s="3"/>
      <c r="I17" s="3"/>
      <c r="J17" s="3"/>
      <c r="K17" s="3"/>
      <c r="L17" s="3"/>
      <c r="M17" s="3"/>
      <c r="N17" s="3"/>
      <c r="O17" s="3"/>
      <c r="P17" s="3"/>
      <c r="Q17" s="3"/>
    </row>
    <row r="18" spans="2:17" ht="15" customHeight="1" x14ac:dyDescent="0.35">
      <c r="B18" s="25" t="s">
        <v>468</v>
      </c>
      <c r="C18" s="3"/>
      <c r="D18" s="47">
        <v>0</v>
      </c>
      <c r="E18" s="47">
        <v>0</v>
      </c>
      <c r="F18" s="47">
        <v>7</v>
      </c>
      <c r="G18" s="3"/>
      <c r="H18" s="3"/>
      <c r="I18" s="3"/>
      <c r="J18" s="3"/>
      <c r="K18" s="3"/>
      <c r="L18" s="3"/>
      <c r="M18" s="3"/>
      <c r="N18" s="3"/>
      <c r="O18" s="3"/>
      <c r="P18" s="3"/>
      <c r="Q18" s="3"/>
    </row>
    <row r="19" spans="2:17" ht="15" customHeight="1" x14ac:dyDescent="0.35">
      <c r="B19" s="25" t="s">
        <v>469</v>
      </c>
      <c r="C19" s="3"/>
      <c r="D19" s="122">
        <v>0</v>
      </c>
      <c r="E19" s="122">
        <v>0</v>
      </c>
      <c r="F19" s="122">
        <v>42000</v>
      </c>
      <c r="G19" s="3"/>
      <c r="H19" s="24" t="s">
        <v>470</v>
      </c>
      <c r="I19" s="3"/>
      <c r="J19" s="3"/>
      <c r="K19" s="3"/>
      <c r="L19" s="3"/>
      <c r="M19" s="3"/>
      <c r="N19" s="3"/>
      <c r="O19" s="3"/>
      <c r="P19" s="3"/>
      <c r="Q19" s="3"/>
    </row>
    <row r="20" spans="2:17" ht="15" customHeight="1" x14ac:dyDescent="0.35">
      <c r="B20" s="25" t="s">
        <v>471</v>
      </c>
      <c r="C20" s="3"/>
      <c r="D20" s="47">
        <v>0</v>
      </c>
      <c r="E20" s="47">
        <v>0</v>
      </c>
      <c r="F20" s="47">
        <v>6</v>
      </c>
      <c r="G20" s="3"/>
      <c r="H20" s="3"/>
      <c r="I20" s="3"/>
      <c r="J20" s="3"/>
      <c r="K20" s="3"/>
      <c r="L20" s="3"/>
      <c r="M20" s="3"/>
      <c r="N20" s="3"/>
      <c r="O20" s="3"/>
      <c r="P20" s="3"/>
      <c r="Q20" s="3"/>
    </row>
    <row r="21" spans="2:17" ht="15" customHeight="1" x14ac:dyDescent="0.35">
      <c r="B21" s="25" t="s">
        <v>472</v>
      </c>
      <c r="C21" s="3"/>
      <c r="D21" s="121">
        <v>1</v>
      </c>
      <c r="E21" s="121">
        <v>1</v>
      </c>
      <c r="F21" s="121">
        <v>0.8</v>
      </c>
      <c r="G21" s="3"/>
      <c r="H21" s="24" t="s">
        <v>473</v>
      </c>
      <c r="I21" s="3"/>
      <c r="J21" s="3"/>
      <c r="K21" s="3"/>
      <c r="L21" s="3"/>
      <c r="M21" s="3"/>
      <c r="N21" s="3"/>
      <c r="O21" s="3"/>
      <c r="P21" s="3"/>
      <c r="Q21" s="3"/>
    </row>
    <row r="22" spans="2:17" ht="15" customHeight="1" x14ac:dyDescent="0.35">
      <c r="B22" s="3"/>
      <c r="C22" s="3"/>
      <c r="D22" s="3"/>
      <c r="E22" s="3"/>
      <c r="F22" s="3"/>
      <c r="G22" s="3"/>
      <c r="H22" s="3"/>
      <c r="I22" s="3"/>
      <c r="J22" s="3"/>
      <c r="K22" s="3"/>
      <c r="L22" s="3"/>
      <c r="M22" s="3"/>
      <c r="N22" s="3"/>
      <c r="O22" s="3"/>
      <c r="P22" s="3"/>
      <c r="Q22" s="3"/>
    </row>
    <row r="23" spans="2:17" ht="18" customHeight="1" x14ac:dyDescent="0.35">
      <c r="B23" s="12" t="s">
        <v>474</v>
      </c>
      <c r="C23" s="12"/>
      <c r="D23" s="12"/>
      <c r="E23" s="12"/>
      <c r="F23" s="12"/>
      <c r="G23" s="12"/>
      <c r="H23" s="12"/>
      <c r="I23" s="12"/>
      <c r="J23" s="12"/>
      <c r="K23" s="12"/>
      <c r="L23" s="12"/>
      <c r="M23" s="12"/>
      <c r="N23" s="12"/>
      <c r="O23" s="12"/>
      <c r="P23" s="12"/>
      <c r="Q23" s="12"/>
    </row>
    <row r="24" spans="2:17" ht="31.5" customHeight="1" x14ac:dyDescent="0.35">
      <c r="B24" s="82" t="s">
        <v>475</v>
      </c>
      <c r="C24" s="82"/>
      <c r="D24" s="50" t="s">
        <v>446</v>
      </c>
      <c r="E24" s="119" t="s">
        <v>447</v>
      </c>
      <c r="F24" s="120" t="s">
        <v>448</v>
      </c>
      <c r="G24" s="50" t="s">
        <v>476</v>
      </c>
      <c r="H24" s="50" t="s">
        <v>477</v>
      </c>
      <c r="I24" s="50"/>
      <c r="J24" s="50"/>
      <c r="K24" s="50"/>
      <c r="L24" s="50"/>
      <c r="M24" s="50"/>
      <c r="N24" s="50"/>
      <c r="O24" s="50"/>
      <c r="P24" s="50"/>
      <c r="Q24" s="50"/>
    </row>
    <row r="25" spans="2:17" ht="13.5" customHeight="1" x14ac:dyDescent="0.35">
      <c r="B25" s="25" t="s">
        <v>386</v>
      </c>
      <c r="C25" s="3"/>
      <c r="D25" s="33">
        <f>'Channel Profitability'!$D$55*(1+$D$7)*IF($D$14=0,1,0)</f>
        <v>82720</v>
      </c>
      <c r="E25" s="33">
        <f>'Channel Profitability'!$D$55*(1+$E$7)*IF($E$14=0,1,0)</f>
        <v>87683.200000000012</v>
      </c>
      <c r="F25" s="33">
        <f>'Channel Profitability'!$D$55*(1+$F$7)*IF($F$14=0,1,0)</f>
        <v>0</v>
      </c>
      <c r="G25" s="60">
        <f t="shared" ref="G25:G31" si="0">E25-D25</f>
        <v>4963.2000000000116</v>
      </c>
      <c r="H25" s="60">
        <f t="shared" ref="H25:H31" si="1">F25-D25</f>
        <v>-82720</v>
      </c>
      <c r="I25" s="3"/>
      <c r="J25" s="3"/>
      <c r="K25" s="3"/>
      <c r="L25" s="3"/>
      <c r="M25" s="3"/>
      <c r="N25" s="3"/>
      <c r="O25" s="3"/>
      <c r="P25" s="3"/>
      <c r="Q25" s="3"/>
    </row>
    <row r="26" spans="2:17" ht="13.5" customHeight="1" x14ac:dyDescent="0.35">
      <c r="B26" s="25" t="s">
        <v>478</v>
      </c>
      <c r="C26" s="3"/>
      <c r="D26" s="33">
        <f>'Channel Profitability'!$E$55*(1+$D$11)+'Channel Profitability'!$D$55*(1-IF($D$14=0,1,0))*$D$12</f>
        <v>83600</v>
      </c>
      <c r="E26" s="33">
        <f>'Channel Profitability'!$E$55*(1+$E$11)+'Channel Profitability'!$D$55*(1-IF($E$14=0,1,0))*$E$12</f>
        <v>85272</v>
      </c>
      <c r="F26" s="33">
        <f>'Channel Profitability'!$E$55*(1+$F$11)+'Channel Profitability'!$D$55*(1-IF($F$14=0,1,0))*$F$12</f>
        <v>104280</v>
      </c>
      <c r="G26" s="60">
        <f t="shared" si="0"/>
        <v>1672</v>
      </c>
      <c r="H26" s="60">
        <f t="shared" si="1"/>
        <v>20680</v>
      </c>
      <c r="I26" s="3"/>
      <c r="J26" s="3"/>
      <c r="K26" s="3"/>
      <c r="L26" s="3"/>
      <c r="M26" s="3"/>
      <c r="N26" s="3"/>
      <c r="O26" s="3"/>
      <c r="P26" s="3"/>
      <c r="Q26" s="3"/>
    </row>
    <row r="27" spans="2:17" ht="13.5" customHeight="1" x14ac:dyDescent="0.35">
      <c r="B27" s="25" t="s">
        <v>479</v>
      </c>
      <c r="C27" s="3"/>
      <c r="D27" s="33">
        <f>'Channel Profitability'!$F$55</f>
        <v>29100</v>
      </c>
      <c r="E27" s="33">
        <f>'Channel Profitability'!$F$55</f>
        <v>29100</v>
      </c>
      <c r="F27" s="33">
        <f>'Channel Profitability'!$F$55</f>
        <v>29100</v>
      </c>
      <c r="G27" s="60">
        <f t="shared" si="0"/>
        <v>0</v>
      </c>
      <c r="H27" s="60">
        <f t="shared" si="1"/>
        <v>0</v>
      </c>
      <c r="I27" s="3"/>
      <c r="J27" s="3"/>
      <c r="K27" s="3"/>
      <c r="L27" s="3"/>
      <c r="M27" s="3"/>
      <c r="N27" s="3"/>
      <c r="O27" s="3"/>
      <c r="P27" s="3"/>
      <c r="Q27" s="3"/>
    </row>
    <row r="28" spans="2:17" ht="13.5" customHeight="1" x14ac:dyDescent="0.35">
      <c r="B28" s="25" t="s">
        <v>480</v>
      </c>
      <c r="C28" s="3"/>
      <c r="D28" s="33">
        <f>'Channel Profitability'!$G$55</f>
        <v>34000</v>
      </c>
      <c r="E28" s="33">
        <f>'Channel Profitability'!$G$55</f>
        <v>34000</v>
      </c>
      <c r="F28" s="33">
        <f>'Channel Profitability'!$G$55</f>
        <v>34000</v>
      </c>
      <c r="G28" s="60">
        <f t="shared" si="0"/>
        <v>0</v>
      </c>
      <c r="H28" s="60">
        <f t="shared" si="1"/>
        <v>0</v>
      </c>
      <c r="I28" s="3"/>
      <c r="J28" s="3"/>
      <c r="K28" s="3"/>
      <c r="L28" s="3"/>
      <c r="M28" s="3"/>
      <c r="N28" s="3"/>
      <c r="O28" s="3"/>
      <c r="P28" s="3"/>
      <c r="Q28" s="3"/>
    </row>
    <row r="29" spans="2:17" ht="16.5" customHeight="1" x14ac:dyDescent="0.35">
      <c r="B29" s="86" t="s">
        <v>481</v>
      </c>
      <c r="C29" s="87"/>
      <c r="D29" s="58">
        <f>SUM(D25:D28)</f>
        <v>229420</v>
      </c>
      <c r="E29" s="58">
        <f>SUM(E25:E28)</f>
        <v>236055.2</v>
      </c>
      <c r="F29" s="58">
        <f>SUM(F25:F28)</f>
        <v>167380</v>
      </c>
      <c r="G29" s="123">
        <f t="shared" si="0"/>
        <v>6635.2000000000116</v>
      </c>
      <c r="H29" s="123">
        <f t="shared" si="1"/>
        <v>-62040</v>
      </c>
      <c r="I29" s="3"/>
      <c r="J29" s="3"/>
      <c r="K29" s="3"/>
      <c r="L29" s="3"/>
      <c r="M29" s="3"/>
      <c r="N29" s="3"/>
      <c r="O29" s="3"/>
      <c r="P29" s="3"/>
      <c r="Q29" s="3"/>
    </row>
    <row r="30" spans="2:17" ht="16.5" customHeight="1" x14ac:dyDescent="0.35">
      <c r="B30" s="86" t="s">
        <v>346</v>
      </c>
      <c r="C30" s="87"/>
      <c r="D30" s="58">
        <f>D25*(Assumptions!$C$28+$D$8)+D26*Assumptions!$C$29+D27*Assumptions!$C$30+D28*Assumptions!$C$31</f>
        <v>137161.60000000001</v>
      </c>
      <c r="E30" s="58">
        <f>E25*(Assumptions!$C$28+$E$8)+E26*Assumptions!$C$29+E27*Assumptions!$C$30+E28*Assumptions!$C$31</f>
        <v>142358.704</v>
      </c>
      <c r="F30" s="58">
        <f>F25*(Assumptions!$C$28+$F$8)+F26*Assumptions!$C$29+F27*Assumptions!$C$30+F28*Assumptions!$C$31</f>
        <v>101592</v>
      </c>
      <c r="G30" s="123">
        <f t="shared" si="0"/>
        <v>5197.1039999999921</v>
      </c>
      <c r="H30" s="123">
        <f t="shared" si="1"/>
        <v>-35569.600000000006</v>
      </c>
      <c r="I30" s="3"/>
      <c r="J30" s="3"/>
      <c r="K30" s="3"/>
      <c r="L30" s="3"/>
      <c r="M30" s="3"/>
      <c r="N30" s="3"/>
      <c r="O30" s="3"/>
      <c r="P30" s="3"/>
      <c r="Q30" s="3"/>
    </row>
    <row r="31" spans="2:17" ht="15" customHeight="1" x14ac:dyDescent="0.35">
      <c r="B31" s="25" t="s">
        <v>347</v>
      </c>
      <c r="C31" s="3"/>
      <c r="D31" s="90">
        <f>IFERROR(D30/D29,0)</f>
        <v>0.59786243570743614</v>
      </c>
      <c r="E31" s="90">
        <f>IFERROR(E30/E29,0)</f>
        <v>0.60307378952041724</v>
      </c>
      <c r="F31" s="90">
        <f>IFERROR(F30/F29,0)</f>
        <v>0.60695423587047437</v>
      </c>
      <c r="G31" s="124">
        <f t="shared" si="0"/>
        <v>5.211353812981101E-3</v>
      </c>
      <c r="H31" s="124">
        <f t="shared" si="1"/>
        <v>9.0918001630382328E-3</v>
      </c>
      <c r="I31" s="3"/>
      <c r="J31" s="3"/>
      <c r="K31" s="3"/>
      <c r="L31" s="3"/>
      <c r="M31" s="3"/>
      <c r="N31" s="3"/>
      <c r="O31" s="3"/>
      <c r="P31" s="3"/>
      <c r="Q31" s="3"/>
    </row>
    <row r="32" spans="2:17" ht="6" customHeight="1" x14ac:dyDescent="0.35">
      <c r="B32" s="3"/>
      <c r="C32" s="3"/>
      <c r="D32" s="3"/>
      <c r="E32" s="3"/>
      <c r="F32" s="3"/>
      <c r="G32" s="3"/>
      <c r="H32" s="3"/>
      <c r="I32" s="3"/>
      <c r="J32" s="3"/>
      <c r="K32" s="3"/>
      <c r="L32" s="3"/>
      <c r="M32" s="3"/>
      <c r="N32" s="3"/>
      <c r="O32" s="3"/>
      <c r="P32" s="3"/>
      <c r="Q32" s="3"/>
    </row>
    <row r="33" spans="2:17" ht="12.75" customHeight="1" x14ac:dyDescent="0.35">
      <c r="B33" s="125" t="s">
        <v>482</v>
      </c>
      <c r="C33" s="3"/>
      <c r="D33" s="85">
        <f>Assumptions!$C$28+$D$8-Assumptions!$C$34-Assumptions!$C$37-Assumptions!$C$38</f>
        <v>0.52399999999999991</v>
      </c>
      <c r="E33" s="85">
        <f>Assumptions!$C$28+$E$8-Assumptions!$C$34-Assumptions!$C$37-Assumptions!$C$38</f>
        <v>0.53899999999999992</v>
      </c>
      <c r="F33" s="85">
        <f>Assumptions!$C$28+$F$8-Assumptions!$C$34-Assumptions!$C$37-Assumptions!$C$38</f>
        <v>0.52399999999999991</v>
      </c>
      <c r="G33" s="3"/>
      <c r="H33" s="3"/>
      <c r="I33" s="3"/>
      <c r="J33" s="3"/>
      <c r="K33" s="3"/>
      <c r="L33" s="3"/>
      <c r="M33" s="3"/>
      <c r="N33" s="3"/>
      <c r="O33" s="3"/>
      <c r="P33" s="3"/>
      <c r="Q33" s="3"/>
    </row>
    <row r="34" spans="2:17" ht="12.75" customHeight="1" x14ac:dyDescent="0.35">
      <c r="B34" s="125" t="s">
        <v>483</v>
      </c>
      <c r="C34" s="3"/>
      <c r="D34" s="85">
        <f>Assumptions!$C$29-Assumptions!$C$35-Assumptions!$C$39-Assumptions!$C$40*$D$13</f>
        <v>0.41600000000000004</v>
      </c>
      <c r="E34" s="85">
        <f>Assumptions!$C$29-Assumptions!$C$35-Assumptions!$C$39-Assumptions!$C$40*$E$13</f>
        <v>0.41600000000000004</v>
      </c>
      <c r="F34" s="85">
        <f>Assumptions!$C$29-Assumptions!$C$35-Assumptions!$C$39-Assumptions!$C$40*$F$13</f>
        <v>0.38900000000000001</v>
      </c>
      <c r="G34" s="3"/>
      <c r="H34" s="3"/>
      <c r="I34" s="3"/>
      <c r="J34" s="3"/>
      <c r="K34" s="3"/>
      <c r="L34" s="3"/>
      <c r="M34" s="3"/>
      <c r="N34" s="3"/>
      <c r="O34" s="3"/>
      <c r="P34" s="3"/>
      <c r="Q34" s="3"/>
    </row>
    <row r="35" spans="2:17" ht="12.75" customHeight="1" x14ac:dyDescent="0.35">
      <c r="B35" s="125" t="s">
        <v>484</v>
      </c>
      <c r="C35" s="3"/>
      <c r="D35" s="85">
        <f>Assumptions!$C$30-Assumptions!$C$36-Assumptions!$C$41</f>
        <v>0.441</v>
      </c>
      <c r="E35" s="85">
        <f>Assumptions!$C$30-Assumptions!$C$36-Assumptions!$C$41</f>
        <v>0.441</v>
      </c>
      <c r="F35" s="85">
        <f>Assumptions!$C$30-Assumptions!$C$36-Assumptions!$C$41</f>
        <v>0.441</v>
      </c>
      <c r="G35" s="3"/>
      <c r="H35" s="3"/>
      <c r="I35" s="3"/>
      <c r="J35" s="3"/>
      <c r="K35" s="3"/>
      <c r="L35" s="3"/>
      <c r="M35" s="3"/>
      <c r="N35" s="3"/>
      <c r="O35" s="3"/>
      <c r="P35" s="3"/>
      <c r="Q35" s="3"/>
    </row>
    <row r="36" spans="2:17" ht="12.75" customHeight="1" x14ac:dyDescent="0.35">
      <c r="B36" s="125" t="s">
        <v>485</v>
      </c>
      <c r="C36" s="3"/>
      <c r="D36" s="85">
        <f>Assumptions!$C$31-Assumptions!$C$42-Assumptions!$C$43</f>
        <v>0.28499999999999998</v>
      </c>
      <c r="E36" s="85">
        <f>Assumptions!$C$31-Assumptions!$C$42-Assumptions!$C$43</f>
        <v>0.28499999999999998</v>
      </c>
      <c r="F36" s="85">
        <f>Assumptions!$C$31-Assumptions!$C$42-Assumptions!$C$43</f>
        <v>0.28499999999999998</v>
      </c>
      <c r="G36" s="3"/>
      <c r="H36" s="3"/>
      <c r="I36" s="3"/>
      <c r="J36" s="3"/>
      <c r="K36" s="3"/>
      <c r="L36" s="3"/>
      <c r="M36" s="3"/>
      <c r="N36" s="3"/>
      <c r="O36" s="3"/>
      <c r="P36" s="3"/>
      <c r="Q36" s="3"/>
    </row>
    <row r="37" spans="2:17" ht="6" customHeight="1" x14ac:dyDescent="0.35">
      <c r="B37" s="3"/>
      <c r="C37" s="3"/>
      <c r="D37" s="3"/>
      <c r="E37" s="3"/>
      <c r="F37" s="3"/>
      <c r="G37" s="3"/>
      <c r="H37" s="3"/>
      <c r="I37" s="3"/>
      <c r="J37" s="3"/>
      <c r="K37" s="3"/>
      <c r="L37" s="3"/>
      <c r="M37" s="3"/>
      <c r="N37" s="3"/>
      <c r="O37" s="3"/>
      <c r="P37" s="3"/>
      <c r="Q37" s="3"/>
    </row>
    <row r="38" spans="2:17" ht="13.5" customHeight="1" x14ac:dyDescent="0.35">
      <c r="B38" s="25" t="s">
        <v>486</v>
      </c>
      <c r="C38" s="3"/>
      <c r="D38" s="33">
        <f t="shared" ref="D38:F41" si="2">D25*D33</f>
        <v>43345.279999999992</v>
      </c>
      <c r="E38" s="33">
        <f t="shared" si="2"/>
        <v>47261.2448</v>
      </c>
      <c r="F38" s="33">
        <f t="shared" si="2"/>
        <v>0</v>
      </c>
      <c r="G38" s="60">
        <f t="shared" ref="G38:G43" si="3">E38-D38</f>
        <v>3915.9648000000088</v>
      </c>
      <c r="H38" s="60">
        <f t="shared" ref="H38:H43" si="4">F38-D38</f>
        <v>-43345.279999999992</v>
      </c>
      <c r="I38" s="3"/>
      <c r="J38" s="3"/>
      <c r="K38" s="3"/>
      <c r="L38" s="3"/>
      <c r="M38" s="3"/>
      <c r="N38" s="3"/>
      <c r="O38" s="3"/>
      <c r="P38" s="3"/>
      <c r="Q38" s="3"/>
    </row>
    <row r="39" spans="2:17" ht="13.5" customHeight="1" x14ac:dyDescent="0.35">
      <c r="B39" s="25" t="s">
        <v>487</v>
      </c>
      <c r="C39" s="3"/>
      <c r="D39" s="33">
        <f t="shared" si="2"/>
        <v>34777.600000000006</v>
      </c>
      <c r="E39" s="33">
        <f t="shared" si="2"/>
        <v>35473.152000000002</v>
      </c>
      <c r="F39" s="33">
        <f t="shared" si="2"/>
        <v>40564.92</v>
      </c>
      <c r="G39" s="60">
        <f t="shared" si="3"/>
        <v>695.55199999999604</v>
      </c>
      <c r="H39" s="60">
        <f t="shared" si="4"/>
        <v>5787.3199999999924</v>
      </c>
      <c r="I39" s="3"/>
      <c r="J39" s="3"/>
      <c r="K39" s="3"/>
      <c r="L39" s="3"/>
      <c r="M39" s="3"/>
      <c r="N39" s="3"/>
      <c r="O39" s="3"/>
      <c r="P39" s="3"/>
      <c r="Q39" s="3"/>
    </row>
    <row r="40" spans="2:17" ht="13.5" customHeight="1" x14ac:dyDescent="0.35">
      <c r="B40" s="25" t="s">
        <v>488</v>
      </c>
      <c r="C40" s="3"/>
      <c r="D40" s="33">
        <f t="shared" si="2"/>
        <v>12833.1</v>
      </c>
      <c r="E40" s="33">
        <f t="shared" si="2"/>
        <v>12833.1</v>
      </c>
      <c r="F40" s="33">
        <f t="shared" si="2"/>
        <v>12833.1</v>
      </c>
      <c r="G40" s="60">
        <f t="shared" si="3"/>
        <v>0</v>
      </c>
      <c r="H40" s="60">
        <f t="shared" si="4"/>
        <v>0</v>
      </c>
      <c r="I40" s="3"/>
      <c r="J40" s="3"/>
      <c r="K40" s="3"/>
      <c r="L40" s="3"/>
      <c r="M40" s="3"/>
      <c r="N40" s="3"/>
      <c r="O40" s="3"/>
      <c r="P40" s="3"/>
      <c r="Q40" s="3"/>
    </row>
    <row r="41" spans="2:17" ht="13.5" customHeight="1" x14ac:dyDescent="0.35">
      <c r="B41" s="25" t="s">
        <v>489</v>
      </c>
      <c r="C41" s="3"/>
      <c r="D41" s="33">
        <f t="shared" si="2"/>
        <v>9690</v>
      </c>
      <c r="E41" s="33">
        <f t="shared" si="2"/>
        <v>9690</v>
      </c>
      <c r="F41" s="33">
        <f t="shared" si="2"/>
        <v>9690</v>
      </c>
      <c r="G41" s="60">
        <f t="shared" si="3"/>
        <v>0</v>
      </c>
      <c r="H41" s="60">
        <f t="shared" si="4"/>
        <v>0</v>
      </c>
      <c r="I41" s="3"/>
      <c r="J41" s="3"/>
      <c r="K41" s="3"/>
      <c r="L41" s="3"/>
      <c r="M41" s="3"/>
      <c r="N41" s="3"/>
      <c r="O41" s="3"/>
      <c r="P41" s="3"/>
      <c r="Q41" s="3"/>
    </row>
    <row r="42" spans="2:17" ht="16.5" customHeight="1" x14ac:dyDescent="0.35">
      <c r="B42" s="86" t="s">
        <v>490</v>
      </c>
      <c r="C42" s="87"/>
      <c r="D42" s="58">
        <f>SUM(D38:D41)</f>
        <v>100645.98000000001</v>
      </c>
      <c r="E42" s="58">
        <f>SUM(E38:E41)</f>
        <v>105257.49680000001</v>
      </c>
      <c r="F42" s="58">
        <f>SUM(F38:F41)</f>
        <v>63088.02</v>
      </c>
      <c r="G42" s="123">
        <f t="shared" si="3"/>
        <v>4611.5167999999976</v>
      </c>
      <c r="H42" s="123">
        <f t="shared" si="4"/>
        <v>-37557.960000000014</v>
      </c>
      <c r="I42" s="3"/>
      <c r="J42" s="3"/>
      <c r="K42" s="3"/>
      <c r="L42" s="3"/>
      <c r="M42" s="3"/>
      <c r="N42" s="3"/>
      <c r="O42" s="3"/>
      <c r="P42" s="3"/>
      <c r="Q42" s="3"/>
    </row>
    <row r="43" spans="2:17" ht="15" customHeight="1" x14ac:dyDescent="0.35">
      <c r="B43" s="25" t="s">
        <v>358</v>
      </c>
      <c r="C43" s="3"/>
      <c r="D43" s="90">
        <f>IFERROR(D42/D29,0)</f>
        <v>0.43869749803853197</v>
      </c>
      <c r="E43" s="90">
        <f>IFERROR(E42/E29,0)</f>
        <v>0.44590204663993849</v>
      </c>
      <c r="F43" s="90">
        <f>IFERROR(F42/F29,0)</f>
        <v>0.37691492412474609</v>
      </c>
      <c r="G43" s="124">
        <f t="shared" si="3"/>
        <v>7.204548601406513E-3</v>
      </c>
      <c r="H43" s="124">
        <f t="shared" si="4"/>
        <v>-6.1782573913785888E-2</v>
      </c>
      <c r="I43" s="3"/>
      <c r="J43" s="3"/>
      <c r="K43" s="3"/>
      <c r="L43" s="3"/>
      <c r="M43" s="3"/>
      <c r="N43" s="3"/>
      <c r="O43" s="3"/>
      <c r="P43" s="3"/>
      <c r="Q43" s="3"/>
    </row>
    <row r="44" spans="2:17" ht="6" customHeight="1" x14ac:dyDescent="0.35">
      <c r="B44" s="3"/>
      <c r="C44" s="3"/>
      <c r="D44" s="3"/>
      <c r="E44" s="3"/>
      <c r="F44" s="3"/>
      <c r="G44" s="3"/>
      <c r="H44" s="3"/>
      <c r="I44" s="3"/>
      <c r="J44" s="3"/>
      <c r="K44" s="3"/>
      <c r="L44" s="3"/>
      <c r="M44" s="3"/>
      <c r="N44" s="3"/>
      <c r="O44" s="3"/>
      <c r="P44" s="3"/>
      <c r="Q44" s="3"/>
    </row>
    <row r="45" spans="2:17" ht="13.5" customHeight="1" x14ac:dyDescent="0.35">
      <c r="B45" s="25" t="s">
        <v>491</v>
      </c>
      <c r="C45" s="3"/>
      <c r="D45" s="33">
        <f>-IF($D$14=0,1,0)*(Assumptions!$C$46+Assumptions!$C$47*(1+$D$9)+(Assumptions!$C$48+Assumptions!$C$49+Assumptions!$C$50)*(1+$D$10))</f>
        <v>-44450</v>
      </c>
      <c r="E45" s="33">
        <f>-IF($E$14=0,1,0)*(Assumptions!$C$46+Assumptions!$C$47*(1+$E$9)+(Assumptions!$C$48+Assumptions!$C$49+Assumptions!$C$50)*(1+$E$10))</f>
        <v>-41914</v>
      </c>
      <c r="F45" s="33">
        <f>-IF($F$14=0,1,0)*(Assumptions!$C$46+Assumptions!$C$47*(1+$F$9)+(Assumptions!$C$48+Assumptions!$C$49+Assumptions!$C$50)*(1+$F$10))</f>
        <v>0</v>
      </c>
      <c r="G45" s="60">
        <f t="shared" ref="G45:G51" si="5">E45-D45</f>
        <v>2536</v>
      </c>
      <c r="H45" s="60">
        <f t="shared" ref="H45:H51" si="6">F45-D45</f>
        <v>44450</v>
      </c>
      <c r="I45" s="3"/>
      <c r="J45" s="3"/>
      <c r="K45" s="3"/>
      <c r="L45" s="3"/>
      <c r="M45" s="3"/>
      <c r="N45" s="3"/>
      <c r="O45" s="3"/>
      <c r="P45" s="3"/>
      <c r="Q45" s="3"/>
    </row>
    <row r="46" spans="2:17" ht="13.5" customHeight="1" x14ac:dyDescent="0.35">
      <c r="B46" s="25" t="s">
        <v>492</v>
      </c>
      <c r="C46" s="3"/>
      <c r="D46" s="33">
        <f>-Assumptions!$C$56</f>
        <v>-6300</v>
      </c>
      <c r="E46" s="33">
        <f>-Assumptions!$C$56</f>
        <v>-6300</v>
      </c>
      <c r="F46" s="33">
        <f>-Assumptions!$C$56</f>
        <v>-6300</v>
      </c>
      <c r="G46" s="60">
        <f t="shared" si="5"/>
        <v>0</v>
      </c>
      <c r="H46" s="60">
        <f t="shared" si="6"/>
        <v>0</v>
      </c>
      <c r="I46" s="3"/>
      <c r="J46" s="3"/>
      <c r="K46" s="3"/>
      <c r="L46" s="3"/>
      <c r="M46" s="3"/>
      <c r="N46" s="3"/>
      <c r="O46" s="3"/>
      <c r="P46" s="3"/>
      <c r="Q46" s="3"/>
    </row>
    <row r="47" spans="2:17" ht="16.5" customHeight="1" x14ac:dyDescent="0.35">
      <c r="B47" s="86" t="s">
        <v>361</v>
      </c>
      <c r="C47" s="87"/>
      <c r="D47" s="58">
        <f>D45+D46</f>
        <v>-50750</v>
      </c>
      <c r="E47" s="58">
        <f>E45+E46</f>
        <v>-48214</v>
      </c>
      <c r="F47" s="58">
        <f>F45+F46</f>
        <v>-6300</v>
      </c>
      <c r="G47" s="123">
        <f t="shared" si="5"/>
        <v>2536</v>
      </c>
      <c r="H47" s="123">
        <f t="shared" si="6"/>
        <v>44450</v>
      </c>
      <c r="I47" s="3"/>
      <c r="J47" s="3"/>
      <c r="K47" s="3"/>
      <c r="L47" s="3"/>
      <c r="M47" s="3"/>
      <c r="N47" s="3"/>
      <c r="O47" s="3"/>
      <c r="P47" s="3"/>
      <c r="Q47" s="3"/>
    </row>
    <row r="48" spans="2:17" ht="16.5" customHeight="1" x14ac:dyDescent="0.35">
      <c r="B48" s="86" t="s">
        <v>493</v>
      </c>
      <c r="C48" s="87"/>
      <c r="D48" s="58">
        <f>D42+D47</f>
        <v>49895.98000000001</v>
      </c>
      <c r="E48" s="58">
        <f>E42+E47</f>
        <v>57043.496800000008</v>
      </c>
      <c r="F48" s="58">
        <f>F42+F47</f>
        <v>56788.02</v>
      </c>
      <c r="G48" s="123">
        <f t="shared" si="5"/>
        <v>7147.5167999999976</v>
      </c>
      <c r="H48" s="123">
        <f t="shared" si="6"/>
        <v>6892.0399999999863</v>
      </c>
      <c r="I48" s="3"/>
      <c r="J48" s="3"/>
      <c r="K48" s="3"/>
      <c r="L48" s="3"/>
      <c r="M48" s="3"/>
      <c r="N48" s="3"/>
      <c r="O48" s="3"/>
      <c r="P48" s="3"/>
      <c r="Q48" s="3"/>
    </row>
    <row r="49" spans="2:17" ht="13.5" customHeight="1" x14ac:dyDescent="0.35">
      <c r="B49" s="25" t="s">
        <v>494</v>
      </c>
      <c r="C49" s="3"/>
      <c r="D49" s="33">
        <f>-Assumptions!$C$64</f>
        <v>-29700</v>
      </c>
      <c r="E49" s="33">
        <f>-Assumptions!$C$64</f>
        <v>-29700</v>
      </c>
      <c r="F49" s="33">
        <f>-Assumptions!$C$64</f>
        <v>-29700</v>
      </c>
      <c r="G49" s="60">
        <f t="shared" si="5"/>
        <v>0</v>
      </c>
      <c r="H49" s="60">
        <f t="shared" si="6"/>
        <v>0</v>
      </c>
      <c r="I49" s="3"/>
      <c r="J49" s="3"/>
      <c r="K49" s="3"/>
      <c r="L49" s="3"/>
      <c r="M49" s="3"/>
      <c r="N49" s="3"/>
      <c r="O49" s="3"/>
      <c r="P49" s="3"/>
      <c r="Q49" s="3"/>
    </row>
    <row r="50" spans="2:17" ht="16.5" customHeight="1" x14ac:dyDescent="0.35">
      <c r="B50" s="86" t="s">
        <v>495</v>
      </c>
      <c r="C50" s="87"/>
      <c r="D50" s="58">
        <f>D48+D49</f>
        <v>20195.98000000001</v>
      </c>
      <c r="E50" s="58">
        <f>E48+E49</f>
        <v>27343.496800000008</v>
      </c>
      <c r="F50" s="58">
        <f>F48+F49</f>
        <v>27088.019999999997</v>
      </c>
      <c r="G50" s="123">
        <f t="shared" si="5"/>
        <v>7147.5167999999976</v>
      </c>
      <c r="H50" s="123">
        <f t="shared" si="6"/>
        <v>6892.0399999999863</v>
      </c>
      <c r="I50" s="3"/>
      <c r="J50" s="3"/>
      <c r="K50" s="3"/>
      <c r="L50" s="3"/>
      <c r="M50" s="3"/>
      <c r="N50" s="3"/>
      <c r="O50" s="3"/>
      <c r="P50" s="3"/>
      <c r="Q50" s="3"/>
    </row>
    <row r="51" spans="2:17" ht="15" customHeight="1" x14ac:dyDescent="0.35">
      <c r="B51" s="25" t="s">
        <v>367</v>
      </c>
      <c r="C51" s="3"/>
      <c r="D51" s="90">
        <f>IFERROR(D50/D29,0)</f>
        <v>8.8030598901577939E-2</v>
      </c>
      <c r="E51" s="90">
        <f>IFERROR(E50/E29,0)</f>
        <v>0.11583518092378396</v>
      </c>
      <c r="F51" s="90">
        <f>IFERROR(F50/F29,0)</f>
        <v>0.16183546421316763</v>
      </c>
      <c r="G51" s="124">
        <f t="shared" si="5"/>
        <v>2.7804582022206023E-2</v>
      </c>
      <c r="H51" s="124">
        <f t="shared" si="6"/>
        <v>7.3804865311589696E-2</v>
      </c>
      <c r="I51" s="3"/>
      <c r="J51" s="3"/>
      <c r="K51" s="3"/>
      <c r="L51" s="3"/>
      <c r="M51" s="3"/>
      <c r="N51" s="3"/>
      <c r="O51" s="3"/>
      <c r="P51" s="3"/>
      <c r="Q51" s="3"/>
    </row>
    <row r="52" spans="2:17" ht="6" customHeight="1" x14ac:dyDescent="0.35">
      <c r="B52" s="3"/>
      <c r="C52" s="3"/>
      <c r="D52" s="3"/>
      <c r="E52" s="3"/>
      <c r="F52" s="3"/>
      <c r="G52" s="3"/>
      <c r="H52" s="3"/>
      <c r="I52" s="3"/>
      <c r="J52" s="3"/>
      <c r="K52" s="3"/>
      <c r="L52" s="3"/>
      <c r="M52" s="3"/>
      <c r="N52" s="3"/>
      <c r="O52" s="3"/>
      <c r="P52" s="3"/>
      <c r="Q52" s="3"/>
    </row>
    <row r="53" spans="2:17" ht="15" customHeight="1" x14ac:dyDescent="0.35">
      <c r="B53" s="25" t="s">
        <v>496</v>
      </c>
      <c r="C53" s="3"/>
      <c r="D53" s="33">
        <f>IFERROR(-D45/D33,0)</f>
        <v>84828.244274809171</v>
      </c>
      <c r="E53" s="33">
        <f>IFERROR(-E45/E33,0)</f>
        <v>77762.523191094631</v>
      </c>
      <c r="F53" s="33">
        <f>IFERROR(-F45/F33,0)</f>
        <v>0</v>
      </c>
      <c r="G53" s="3"/>
      <c r="H53" s="3"/>
      <c r="I53" s="3"/>
      <c r="J53" s="3"/>
      <c r="K53" s="3"/>
      <c r="L53" s="3"/>
      <c r="M53" s="3"/>
      <c r="N53" s="3"/>
      <c r="O53" s="3"/>
      <c r="P53" s="3"/>
      <c r="Q53" s="3"/>
    </row>
    <row r="54" spans="2:17" ht="15" customHeight="1" x14ac:dyDescent="0.35">
      <c r="B54" s="25" t="s">
        <v>497</v>
      </c>
      <c r="C54" s="3"/>
      <c r="D54" s="90">
        <f>IFERROR(D25/D53-1,0)</f>
        <v>-2.4853093363329748E-2</v>
      </c>
      <c r="E54" s="90">
        <f>IFERROR(E25/E53-1,0)</f>
        <v>0.12757658061745469</v>
      </c>
      <c r="F54" s="90">
        <f>IFERROR(F25/F53-1,0)</f>
        <v>0</v>
      </c>
      <c r="G54" s="3"/>
      <c r="H54" s="3"/>
      <c r="I54" s="3"/>
      <c r="J54" s="21" t="s">
        <v>498</v>
      </c>
      <c r="K54" s="3"/>
      <c r="L54" s="3"/>
      <c r="M54" s="3"/>
      <c r="N54" s="3"/>
      <c r="O54" s="3"/>
      <c r="P54" s="3"/>
      <c r="Q54" s="3"/>
    </row>
    <row r="55" spans="2:17" ht="15" customHeight="1" x14ac:dyDescent="0.35">
      <c r="B55" s="3"/>
      <c r="C55" s="3"/>
      <c r="D55" s="3"/>
      <c r="E55" s="3"/>
      <c r="F55" s="3"/>
      <c r="G55" s="3"/>
      <c r="H55" s="3"/>
      <c r="I55" s="3"/>
      <c r="J55" s="3"/>
      <c r="K55" s="3"/>
      <c r="L55" s="3"/>
      <c r="M55" s="3"/>
      <c r="N55" s="3"/>
      <c r="O55" s="3"/>
      <c r="P55" s="3"/>
      <c r="Q55" s="3"/>
    </row>
    <row r="56" spans="2:17" ht="18" customHeight="1" x14ac:dyDescent="0.35">
      <c r="B56" s="12" t="s">
        <v>499</v>
      </c>
      <c r="C56" s="12"/>
      <c r="D56" s="12"/>
      <c r="E56" s="12"/>
      <c r="F56" s="12"/>
      <c r="G56" s="12"/>
      <c r="H56" s="12"/>
      <c r="I56" s="12"/>
      <c r="J56" s="12"/>
      <c r="K56" s="12"/>
      <c r="L56" s="12"/>
      <c r="M56" s="12"/>
      <c r="N56" s="12"/>
      <c r="O56" s="12"/>
      <c r="P56" s="12"/>
      <c r="Q56" s="12"/>
    </row>
    <row r="57" spans="2:17" ht="31.5" customHeight="1" x14ac:dyDescent="0.35">
      <c r="B57" s="82" t="s">
        <v>500</v>
      </c>
      <c r="C57" s="82"/>
      <c r="D57" s="50" t="s">
        <v>446</v>
      </c>
      <c r="E57" s="119" t="s">
        <v>447</v>
      </c>
      <c r="F57" s="120" t="s">
        <v>448</v>
      </c>
      <c r="G57" s="50" t="s">
        <v>476</v>
      </c>
      <c r="H57" s="50" t="s">
        <v>477</v>
      </c>
      <c r="I57" s="50"/>
      <c r="J57" s="50"/>
      <c r="K57" s="50"/>
      <c r="L57" s="50"/>
      <c r="M57" s="50"/>
      <c r="N57" s="50"/>
      <c r="O57" s="50"/>
      <c r="P57" s="50"/>
      <c r="Q57" s="50"/>
    </row>
    <row r="58" spans="2:17" ht="15" customHeight="1" x14ac:dyDescent="0.35">
      <c r="B58" s="25" t="s">
        <v>501</v>
      </c>
      <c r="C58" s="3"/>
      <c r="D58" s="33">
        <f>Q91</f>
        <v>747630.46</v>
      </c>
      <c r="E58" s="33">
        <f>Q124</f>
        <v>768487.58160000003</v>
      </c>
      <c r="F58" s="33">
        <f>Q157</f>
        <v>615535.31500000006</v>
      </c>
      <c r="G58" s="60">
        <f>E58-D58</f>
        <v>20857.121600000071</v>
      </c>
      <c r="H58" s="60">
        <f>F58-D58</f>
        <v>-132095.1449999999</v>
      </c>
      <c r="I58" s="3"/>
      <c r="J58" s="3"/>
      <c r="K58" s="3"/>
      <c r="L58" s="3"/>
      <c r="M58" s="3"/>
      <c r="N58" s="3"/>
      <c r="O58" s="3"/>
      <c r="P58" s="3"/>
      <c r="Q58" s="3"/>
    </row>
    <row r="59" spans="2:17" ht="15" customHeight="1" x14ac:dyDescent="0.35">
      <c r="B59" s="25" t="s">
        <v>502</v>
      </c>
      <c r="C59" s="3"/>
      <c r="D59" s="33">
        <f>Q98</f>
        <v>713689.48160000006</v>
      </c>
      <c r="E59" s="33">
        <f>Q131</f>
        <v>734364.57049600012</v>
      </c>
      <c r="F59" s="33">
        <f>Q164</f>
        <v>624518.8594999999</v>
      </c>
      <c r="G59" s="60">
        <f>E59-D59</f>
        <v>20675.088896000059</v>
      </c>
      <c r="H59" s="60">
        <f>F59-D59</f>
        <v>-89170.622100000153</v>
      </c>
      <c r="I59" s="3"/>
      <c r="J59" s="3"/>
      <c r="K59" s="3"/>
      <c r="L59" s="3"/>
      <c r="M59" s="3"/>
      <c r="N59" s="3"/>
      <c r="O59" s="3"/>
      <c r="P59" s="3"/>
      <c r="Q59" s="3"/>
    </row>
    <row r="60" spans="2:17" ht="15" customHeight="1" x14ac:dyDescent="0.35">
      <c r="B60" s="25" t="s">
        <v>503</v>
      </c>
      <c r="C60" s="3"/>
      <c r="D60" s="33">
        <f>Q109</f>
        <v>779039.26507599989</v>
      </c>
      <c r="E60" s="33">
        <f>Q142</f>
        <v>776062.93063423992</v>
      </c>
      <c r="F60" s="33">
        <f>Q175</f>
        <v>718939.50851545157</v>
      </c>
      <c r="G60" s="60">
        <f>E60-D60</f>
        <v>-2976.3344417599728</v>
      </c>
      <c r="H60" s="60">
        <f>F60-D60</f>
        <v>-60099.756560548325</v>
      </c>
      <c r="I60" s="3"/>
      <c r="J60" s="3"/>
      <c r="K60" s="3"/>
      <c r="L60" s="3"/>
      <c r="M60" s="3"/>
      <c r="N60" s="3"/>
      <c r="O60" s="3"/>
      <c r="P60" s="3"/>
      <c r="Q60" s="3"/>
    </row>
    <row r="61" spans="2:17" ht="16.5" customHeight="1" x14ac:dyDescent="0.35">
      <c r="B61" s="86" t="s">
        <v>504</v>
      </c>
      <c r="C61" s="87"/>
      <c r="D61" s="58">
        <f>Q110</f>
        <v>-65349.78347599999</v>
      </c>
      <c r="E61" s="58">
        <f>Q143</f>
        <v>-41698.360138239979</v>
      </c>
      <c r="F61" s="58">
        <f>Q176</f>
        <v>-94420.649015451607</v>
      </c>
      <c r="G61" s="123">
        <f>E61-D61</f>
        <v>23651.42333776001</v>
      </c>
      <c r="H61" s="123">
        <f>F61-D61</f>
        <v>-29070.865539451617</v>
      </c>
      <c r="I61" s="3"/>
      <c r="J61" s="3"/>
      <c r="K61" s="3"/>
      <c r="L61" s="3"/>
      <c r="M61" s="3"/>
      <c r="N61" s="3"/>
      <c r="O61" s="3"/>
      <c r="P61" s="3"/>
      <c r="Q61" s="3"/>
    </row>
    <row r="62" spans="2:17" ht="15" customHeight="1" x14ac:dyDescent="0.35">
      <c r="B62" s="25" t="s">
        <v>505</v>
      </c>
      <c r="C62" s="3"/>
      <c r="D62" s="33">
        <f>D111</f>
        <v>205000</v>
      </c>
      <c r="E62" s="33">
        <f>D144</f>
        <v>205000</v>
      </c>
      <c r="F62" s="33">
        <f>D177</f>
        <v>205000</v>
      </c>
      <c r="G62" s="3"/>
      <c r="H62" s="3"/>
      <c r="I62" s="3"/>
      <c r="J62" s="3"/>
      <c r="K62" s="3"/>
      <c r="L62" s="3"/>
      <c r="M62" s="3"/>
      <c r="N62" s="3"/>
      <c r="O62" s="3"/>
      <c r="P62" s="3"/>
      <c r="Q62" s="3"/>
    </row>
    <row r="63" spans="2:17" ht="16.5" customHeight="1" x14ac:dyDescent="0.35">
      <c r="B63" s="86" t="s">
        <v>506</v>
      </c>
      <c r="C63" s="87"/>
      <c r="D63" s="58">
        <f>P112</f>
        <v>139650.21652399999</v>
      </c>
      <c r="E63" s="58">
        <f>P145</f>
        <v>163301.63986176002</v>
      </c>
      <c r="F63" s="58">
        <f>P178</f>
        <v>110579.35098454836</v>
      </c>
      <c r="G63" s="123">
        <f>E63-D63</f>
        <v>23651.423337760032</v>
      </c>
      <c r="H63" s="123">
        <f>F63-D63</f>
        <v>-29070.865539451624</v>
      </c>
      <c r="I63" s="3"/>
      <c r="J63" s="3"/>
      <c r="K63" s="3"/>
      <c r="L63" s="3"/>
      <c r="M63" s="3"/>
      <c r="N63" s="3"/>
      <c r="O63" s="3"/>
      <c r="P63" s="3"/>
      <c r="Q63" s="3"/>
    </row>
    <row r="64" spans="2:17" ht="16.5" customHeight="1" x14ac:dyDescent="0.35">
      <c r="B64" s="86" t="s">
        <v>303</v>
      </c>
      <c r="C64" s="87"/>
      <c r="D64" s="58">
        <f>MIN(D112:P112)</f>
        <v>114528.43459999999</v>
      </c>
      <c r="E64" s="58">
        <f>MIN(D145:P145)</f>
        <v>130288.22644900004</v>
      </c>
      <c r="F64" s="58">
        <f>MIN(D178:P178)</f>
        <v>79427.176976548362</v>
      </c>
      <c r="G64" s="123">
        <f>E64-D64</f>
        <v>15759.791849000045</v>
      </c>
      <c r="H64" s="123">
        <f>F64-D64</f>
        <v>-35101.257623451631</v>
      </c>
      <c r="I64" s="3"/>
      <c r="J64" s="3"/>
      <c r="K64" s="3"/>
      <c r="L64" s="3"/>
      <c r="M64" s="3"/>
      <c r="N64" s="3"/>
      <c r="O64" s="3"/>
      <c r="P64" s="3"/>
      <c r="Q64" s="3"/>
    </row>
    <row r="65" spans="2:17" ht="15" customHeight="1" x14ac:dyDescent="0.35">
      <c r="B65" s="25" t="s">
        <v>304</v>
      </c>
      <c r="C65" s="3"/>
      <c r="D65" s="126">
        <f>MATCH(MIN(D112:P112),D112:P112,0)</f>
        <v>9</v>
      </c>
      <c r="E65" s="126">
        <f>MATCH(MIN(D145:P145),D145:P145,0)</f>
        <v>9</v>
      </c>
      <c r="F65" s="126">
        <f>MATCH(MIN(D178:P178),D178:P178,0)</f>
        <v>11</v>
      </c>
      <c r="G65" s="3"/>
      <c r="H65" s="3"/>
      <c r="I65" s="3"/>
      <c r="J65" s="3"/>
      <c r="K65" s="3"/>
      <c r="L65" s="3"/>
      <c r="M65" s="3"/>
      <c r="N65" s="3"/>
      <c r="O65" s="3"/>
      <c r="P65" s="3"/>
      <c r="Q65" s="3"/>
    </row>
    <row r="66" spans="2:17" ht="15" customHeight="1" x14ac:dyDescent="0.35">
      <c r="B66" s="25" t="s">
        <v>306</v>
      </c>
      <c r="C66" s="3"/>
      <c r="D66" s="33">
        <f>MIN(D113:P113)</f>
        <v>-5471.5654000000068</v>
      </c>
      <c r="E66" s="33">
        <f>MIN(D146:P146)</f>
        <v>10288.226449000038</v>
      </c>
      <c r="F66" s="33">
        <f>MIN(D179:P179)</f>
        <v>-40572.823023451638</v>
      </c>
      <c r="G66" s="60">
        <f>E66-D66</f>
        <v>15759.791849000045</v>
      </c>
      <c r="H66" s="60">
        <f>F66-D66</f>
        <v>-35101.257623451631</v>
      </c>
      <c r="I66" s="3"/>
      <c r="J66" s="3"/>
      <c r="K66" s="3"/>
      <c r="L66" s="3"/>
      <c r="M66" s="3"/>
      <c r="N66" s="3"/>
      <c r="O66" s="3"/>
      <c r="P66" s="3"/>
      <c r="Q66" s="3"/>
    </row>
    <row r="67" spans="2:17" ht="15" customHeight="1" x14ac:dyDescent="0.35">
      <c r="B67" s="25" t="s">
        <v>307</v>
      </c>
      <c r="C67" s="3"/>
      <c r="D67" s="126">
        <f>COUNTIF(D113:P113,"&lt;0")</f>
        <v>1</v>
      </c>
      <c r="E67" s="126">
        <f>COUNTIF(D146:P146,"&lt;0")</f>
        <v>0</v>
      </c>
      <c r="F67" s="126">
        <f>COUNTIF(D179:P179,"&lt;0")</f>
        <v>6</v>
      </c>
      <c r="G67" s="3"/>
      <c r="H67" s="3"/>
      <c r="I67" s="3"/>
      <c r="J67" s="3"/>
      <c r="K67" s="3"/>
      <c r="L67" s="3"/>
      <c r="M67" s="3"/>
      <c r="N67" s="3"/>
      <c r="O67" s="3"/>
      <c r="P67" s="3"/>
      <c r="Q67" s="3"/>
    </row>
    <row r="68" spans="2:17" ht="15" customHeight="1" x14ac:dyDescent="0.35">
      <c r="B68" s="25" t="s">
        <v>301</v>
      </c>
      <c r="C68" s="3"/>
      <c r="D68" s="33">
        <f>Q110/13</f>
        <v>-5026.9064212307685</v>
      </c>
      <c r="E68" s="33">
        <f>Q143/13</f>
        <v>-3207.5661644799984</v>
      </c>
      <c r="F68" s="33">
        <f>Q176/13</f>
        <v>-7263.1268473424316</v>
      </c>
      <c r="G68" s="60">
        <f>E68-D68</f>
        <v>1819.3402567507701</v>
      </c>
      <c r="H68" s="60">
        <f>F68-D68</f>
        <v>-2236.2204261116631</v>
      </c>
      <c r="I68" s="3"/>
      <c r="J68" s="3"/>
      <c r="K68" s="3"/>
      <c r="L68" s="3"/>
      <c r="M68" s="3"/>
      <c r="N68" s="3"/>
      <c r="O68" s="3"/>
      <c r="P68" s="3"/>
      <c r="Q68" s="3"/>
    </row>
    <row r="69" spans="2:17" ht="15" customHeight="1" x14ac:dyDescent="0.35">
      <c r="B69" s="25" t="s">
        <v>507</v>
      </c>
      <c r="C69" s="3"/>
      <c r="D69" s="127">
        <f>IF(D68&lt;0,-P112/D68,"n/a - cash generative")</f>
        <v>27.780548278002072</v>
      </c>
      <c r="E69" s="127">
        <f>IF(E68&lt;0,-P145/E68,"n/a - cash generative")</f>
        <v>50.911386231134543</v>
      </c>
      <c r="F69" s="127">
        <f>IF(F68&lt;0,-P178/F68,"n/a - cash generative")</f>
        <v>15.22475833187592</v>
      </c>
      <c r="G69" s="3"/>
      <c r="H69" s="3"/>
      <c r="I69" s="3"/>
      <c r="J69" s="3"/>
      <c r="K69" s="3"/>
      <c r="L69" s="3"/>
      <c r="M69" s="3"/>
      <c r="N69" s="3"/>
      <c r="O69" s="3"/>
      <c r="P69" s="3"/>
      <c r="Q69" s="3"/>
    </row>
    <row r="70" spans="2:17" ht="15" customHeight="1" x14ac:dyDescent="0.35">
      <c r="B70" s="3"/>
      <c r="C70" s="3"/>
      <c r="D70" s="3"/>
      <c r="E70" s="3"/>
      <c r="F70" s="3"/>
      <c r="G70" s="3"/>
      <c r="H70" s="3"/>
      <c r="I70" s="3"/>
      <c r="J70" s="3"/>
      <c r="K70" s="3"/>
      <c r="L70" s="3"/>
      <c r="M70" s="3"/>
      <c r="N70" s="3"/>
      <c r="O70" s="3"/>
      <c r="P70" s="3"/>
      <c r="Q70" s="3"/>
    </row>
    <row r="71" spans="2:17" ht="18" customHeight="1" x14ac:dyDescent="0.35">
      <c r="B71" s="12" t="s">
        <v>508</v>
      </c>
      <c r="C71" s="12"/>
      <c r="D71" s="12"/>
      <c r="E71" s="12"/>
      <c r="F71" s="12"/>
      <c r="G71" s="12"/>
      <c r="H71" s="12"/>
      <c r="I71" s="12"/>
      <c r="J71" s="12"/>
      <c r="K71" s="12"/>
      <c r="L71" s="12"/>
      <c r="M71" s="12"/>
      <c r="N71" s="12"/>
      <c r="O71" s="12"/>
      <c r="P71" s="12"/>
      <c r="Q71" s="12"/>
    </row>
    <row r="72" spans="2:17" ht="15.75" customHeight="1" x14ac:dyDescent="0.35">
      <c r="B72" s="13" t="s">
        <v>509</v>
      </c>
      <c r="C72" s="3"/>
      <c r="D72" s="3"/>
      <c r="E72" s="3"/>
      <c r="F72" s="128">
        <f>IFERROR(($D$50-($F$34*'Channel Profitability'!$E$55+$F$40+$F$41+$F$46+$F$49))/($F$34*'Channel Profitability'!$D$55),0)</f>
        <v>3.5815685709029578E-2</v>
      </c>
      <c r="G72" s="3"/>
      <c r="H72" s="21" t="s">
        <v>510</v>
      </c>
      <c r="I72" s="3"/>
      <c r="J72" s="3"/>
      <c r="K72" s="3"/>
      <c r="L72" s="3"/>
      <c r="M72" s="3"/>
      <c r="N72" s="3"/>
      <c r="O72" s="3"/>
      <c r="P72" s="3"/>
      <c r="Q72" s="3"/>
    </row>
    <row r="73" spans="2:17" ht="15.75" customHeight="1" x14ac:dyDescent="0.35">
      <c r="B73" s="13" t="s">
        <v>511</v>
      </c>
      <c r="C73" s="3"/>
      <c r="D73" s="3"/>
      <c r="E73" s="3"/>
      <c r="F73" s="128">
        <f>IFERROR(($E$50-($F$34*'Channel Profitability'!$E$55+$F$40+$F$41+$F$46+$F$49))/($F$34*'Channel Profitability'!$D$55),0)</f>
        <v>0.25793946686688601</v>
      </c>
      <c r="G73" s="3"/>
      <c r="H73" s="21" t="s">
        <v>512</v>
      </c>
      <c r="I73" s="3"/>
      <c r="J73" s="3"/>
      <c r="K73" s="3"/>
      <c r="L73" s="3"/>
      <c r="M73" s="3"/>
      <c r="N73" s="3"/>
      <c r="O73" s="3"/>
      <c r="P73" s="3"/>
      <c r="Q73" s="3"/>
    </row>
    <row r="74" spans="2:17" ht="15.75" customHeight="1" x14ac:dyDescent="0.35">
      <c r="B74" s="25" t="s">
        <v>513</v>
      </c>
      <c r="C74" s="3"/>
      <c r="D74" s="129"/>
      <c r="E74" s="3"/>
      <c r="F74" s="130">
        <f>$D$53</f>
        <v>84828.244274809171</v>
      </c>
      <c r="G74" s="3"/>
      <c r="H74" s="3"/>
      <c r="I74" s="3"/>
      <c r="J74" s="3"/>
      <c r="K74" s="3"/>
      <c r="L74" s="3"/>
      <c r="M74" s="3"/>
      <c r="N74" s="3"/>
      <c r="O74" s="3"/>
      <c r="P74" s="3"/>
      <c r="Q74" s="3"/>
    </row>
    <row r="75" spans="2:17" ht="15.75" customHeight="1" x14ac:dyDescent="0.35">
      <c r="B75" s="25" t="s">
        <v>514</v>
      </c>
      <c r="C75" s="3"/>
      <c r="D75" s="3"/>
      <c r="E75" s="129"/>
      <c r="F75" s="130">
        <f>$E$53</f>
        <v>77762.523191094631</v>
      </c>
      <c r="G75" s="3"/>
      <c r="H75" s="3"/>
      <c r="I75" s="3"/>
      <c r="J75" s="3"/>
      <c r="K75" s="3"/>
      <c r="L75" s="3"/>
      <c r="M75" s="3"/>
      <c r="N75" s="3"/>
      <c r="O75" s="3"/>
      <c r="P75" s="3"/>
      <c r="Q75" s="3"/>
    </row>
    <row r="76" spans="2:17" ht="15.75" customHeight="1" x14ac:dyDescent="0.35">
      <c r="B76" s="25" t="s">
        <v>515</v>
      </c>
      <c r="C76" s="3"/>
      <c r="D76" s="3"/>
      <c r="E76" s="3"/>
      <c r="F76" s="130">
        <f>$F$15-$F$19</f>
        <v>54000</v>
      </c>
      <c r="G76" s="3"/>
      <c r="H76" s="3"/>
      <c r="I76" s="3"/>
      <c r="J76" s="3"/>
      <c r="K76" s="3"/>
      <c r="L76" s="3"/>
      <c r="M76" s="3"/>
      <c r="N76" s="3"/>
      <c r="O76" s="3"/>
      <c r="P76" s="3"/>
      <c r="Q76" s="3"/>
    </row>
    <row r="77" spans="2:17" ht="15.75" customHeight="1" x14ac:dyDescent="0.35">
      <c r="B77" s="25" t="s">
        <v>516</v>
      </c>
      <c r="C77" s="3"/>
      <c r="D77" s="3"/>
      <c r="E77" s="3"/>
      <c r="F77" s="130">
        <f>$F$50-$D$50</f>
        <v>6892.0399999999863</v>
      </c>
      <c r="G77" s="3"/>
      <c r="H77" s="3"/>
      <c r="I77" s="3"/>
      <c r="J77" s="3"/>
      <c r="K77" s="3"/>
      <c r="L77" s="3"/>
      <c r="M77" s="3"/>
      <c r="N77" s="3"/>
      <c r="O77" s="3"/>
      <c r="P77" s="3"/>
      <c r="Q77" s="3"/>
    </row>
    <row r="78" spans="2:17" ht="15.75" customHeight="1" x14ac:dyDescent="0.35">
      <c r="B78" s="25" t="s">
        <v>517</v>
      </c>
      <c r="C78" s="3"/>
      <c r="D78" s="3"/>
      <c r="E78" s="3"/>
      <c r="F78" s="131">
        <f>IF(F77&lt;=0,"no payback",IFERROR(F76/F77,"n/a"))</f>
        <v>7.8351257392586389</v>
      </c>
      <c r="G78" s="3"/>
      <c r="H78" s="3"/>
      <c r="I78" s="3"/>
      <c r="J78" s="3"/>
      <c r="K78" s="3"/>
      <c r="L78" s="3"/>
      <c r="M78" s="3"/>
      <c r="N78" s="3"/>
      <c r="O78" s="3"/>
      <c r="P78" s="3"/>
      <c r="Q78" s="3"/>
    </row>
    <row r="79" spans="2:17" ht="15" customHeight="1" x14ac:dyDescent="0.35">
      <c r="B79" s="3"/>
      <c r="C79" s="3"/>
      <c r="D79" s="3"/>
      <c r="E79" s="3"/>
      <c r="F79" s="3"/>
      <c r="G79" s="3"/>
      <c r="H79" s="3"/>
      <c r="I79" s="3"/>
      <c r="J79" s="3"/>
      <c r="K79" s="3"/>
      <c r="L79" s="3"/>
      <c r="M79" s="3"/>
      <c r="N79" s="3"/>
      <c r="O79" s="3"/>
      <c r="P79" s="3"/>
      <c r="Q79" s="3"/>
    </row>
    <row r="80" spans="2:17" ht="39.75" customHeight="1" x14ac:dyDescent="0.35">
      <c r="B80" s="195" t="str">
        <f>_xlfn._LONGTEXT("Trade-off: Scenario 2 protects revenue and delivers the strongest 13-week cash position, but it depends on management actually achieving the sales and margin uplift. Scenario 3 improves the fixed-cost base permanently, yet it consumes cash first: it spend","s ")&amp;TEXT($F$67,"0")&amp;" of the 13 weeks below the minimum cash buffer and ends the quarter at "&amp;TEXT($F$63,"""S$""#,##0")&amp;", against "&amp;TEXT($E$63,"""S$""#,##0")&amp;" under improvement. On monthly run-rate profit the two are only "&amp;TEXT(ABS($E$50-$F$50),"""S$""#,##0")&amp;" apart: exit needs "&amp;TEXT($F$73,"0.0%")&amp;" of store demand to move online just to match the improvement case, against the "&amp;TEXT($F$12,"0.0%")&amp;" assumed here - so the choice turns on cash timing, execution risk and reversibility rather than on run-rate profit."</f>
        <v>Trade-off: Scenario 2 protects revenue and delivers the strongest 13-week cash position, but it depends on management actually achieving the sales and margin uplift. Scenario 3 improves the fixed-cost base permanently, yet it consumes cash first: it spends 6 of the 13 weeks below the minimum cash buffer and ends the quarter at S$110,579, against S$163,302 under improvement. On monthly run-rate profit the two are only S$255 apart: exit needs 25.8% of store demand to move online just to match the improvement case, against the 25.0% assumed here - so the choice turns on cash timing, execution risk and reversibility rather than on run-rate profit.</v>
      </c>
      <c r="C80" s="195"/>
      <c r="D80" s="195"/>
      <c r="E80" s="195"/>
      <c r="F80" s="195"/>
      <c r="G80" s="195"/>
      <c r="H80" s="195"/>
      <c r="I80" s="195"/>
      <c r="J80" s="195"/>
      <c r="K80" s="195"/>
      <c r="L80" s="195"/>
      <c r="M80" s="195"/>
      <c r="N80" s="195"/>
      <c r="O80" s="195"/>
      <c r="P80" s="195"/>
      <c r="Q80" s="3"/>
    </row>
    <row r="81" spans="2:17" ht="15" customHeight="1" x14ac:dyDescent="0.35">
      <c r="B81" s="3"/>
      <c r="C81" s="3"/>
      <c r="D81" s="3"/>
      <c r="E81" s="3"/>
      <c r="F81" s="3"/>
      <c r="G81" s="3"/>
      <c r="H81" s="3"/>
      <c r="I81" s="3"/>
      <c r="J81" s="3"/>
      <c r="K81" s="3"/>
      <c r="L81" s="3"/>
      <c r="M81" s="3"/>
      <c r="N81" s="3"/>
      <c r="O81" s="3"/>
      <c r="P81" s="3"/>
      <c r="Q81" s="3"/>
    </row>
    <row r="82" spans="2:17" ht="15" customHeight="1" x14ac:dyDescent="0.35">
      <c r="B82" s="3"/>
      <c r="C82" s="3"/>
      <c r="D82" s="3"/>
      <c r="E82" s="3"/>
      <c r="F82" s="3"/>
      <c r="G82" s="3"/>
      <c r="H82" s="3"/>
      <c r="I82" s="3"/>
      <c r="J82" s="3"/>
      <c r="K82" s="3"/>
      <c r="L82" s="3"/>
      <c r="M82" s="3"/>
      <c r="N82" s="3"/>
      <c r="O82" s="3"/>
      <c r="P82" s="3"/>
      <c r="Q82" s="3"/>
    </row>
    <row r="83" spans="2:17" ht="18" customHeight="1" x14ac:dyDescent="0.35">
      <c r="B83" s="12" t="s">
        <v>518</v>
      </c>
      <c r="C83" s="12"/>
      <c r="D83" s="12"/>
      <c r="E83" s="12"/>
      <c r="F83" s="12"/>
      <c r="G83" s="12"/>
      <c r="H83" s="12"/>
      <c r="I83" s="12"/>
      <c r="J83" s="12"/>
      <c r="K83" s="12"/>
      <c r="L83" s="12"/>
      <c r="M83" s="12"/>
      <c r="N83" s="12"/>
      <c r="O83" s="12"/>
      <c r="P83" s="12"/>
      <c r="Q83" s="12"/>
    </row>
    <row r="84" spans="2:17" ht="21.75" customHeight="1" x14ac:dyDescent="0.35">
      <c r="B84" s="132" t="s">
        <v>76</v>
      </c>
      <c r="C84" s="132" t="s">
        <v>194</v>
      </c>
      <c r="D84" s="133" t="s">
        <v>196</v>
      </c>
      <c r="E84" s="133" t="s">
        <v>197</v>
      </c>
      <c r="F84" s="133" t="s">
        <v>198</v>
      </c>
      <c r="G84" s="133" t="s">
        <v>199</v>
      </c>
      <c r="H84" s="133" t="s">
        <v>200</v>
      </c>
      <c r="I84" s="133" t="s">
        <v>201</v>
      </c>
      <c r="J84" s="133" t="s">
        <v>202</v>
      </c>
      <c r="K84" s="133" t="s">
        <v>203</v>
      </c>
      <c r="L84" s="133" t="s">
        <v>204</v>
      </c>
      <c r="M84" s="133" t="s">
        <v>205</v>
      </c>
      <c r="N84" s="133" t="s">
        <v>206</v>
      </c>
      <c r="O84" s="133" t="s">
        <v>207</v>
      </c>
      <c r="P84" s="133" t="s">
        <v>208</v>
      </c>
      <c r="Q84" s="134" t="s">
        <v>243</v>
      </c>
    </row>
    <row r="85" spans="2:17" ht="13.5" customHeight="1" x14ac:dyDescent="0.35">
      <c r="B85" s="75" t="s">
        <v>245</v>
      </c>
      <c r="C85" s="21"/>
      <c r="D85" s="135">
        <f>'13W Cash Flow'!D$6</f>
        <v>1</v>
      </c>
      <c r="E85" s="135">
        <f>'13W Cash Flow'!E$6</f>
        <v>2</v>
      </c>
      <c r="F85" s="135">
        <f>'13W Cash Flow'!F$6</f>
        <v>3</v>
      </c>
      <c r="G85" s="135">
        <f>'13W Cash Flow'!G$6</f>
        <v>4</v>
      </c>
      <c r="H85" s="135">
        <f>'13W Cash Flow'!H$6</f>
        <v>5</v>
      </c>
      <c r="I85" s="135">
        <f>'13W Cash Flow'!I$6</f>
        <v>6</v>
      </c>
      <c r="J85" s="135">
        <f>'13W Cash Flow'!J$6</f>
        <v>7</v>
      </c>
      <c r="K85" s="135">
        <f>'13W Cash Flow'!K$6</f>
        <v>8</v>
      </c>
      <c r="L85" s="135">
        <f>'13W Cash Flow'!L$6</f>
        <v>9</v>
      </c>
      <c r="M85" s="135">
        <f>'13W Cash Flow'!M$6</f>
        <v>10</v>
      </c>
      <c r="N85" s="135">
        <f>'13W Cash Flow'!N$6</f>
        <v>11</v>
      </c>
      <c r="O85" s="135">
        <f>'13W Cash Flow'!O$6</f>
        <v>12</v>
      </c>
      <c r="P85" s="135">
        <f>'13W Cash Flow'!P$6</f>
        <v>13</v>
      </c>
      <c r="Q85" s="3"/>
    </row>
    <row r="86" spans="2:17" ht="13.5" customHeight="1" x14ac:dyDescent="0.35">
      <c r="B86" s="75" t="s">
        <v>519</v>
      </c>
      <c r="C86" s="59" t="s">
        <v>520</v>
      </c>
      <c r="D86" s="135">
        <f t="shared" ref="D86:P86" si="7">IF(OR($D$14=0,D$85&lt;=$D$14),1,0)</f>
        <v>1</v>
      </c>
      <c r="E86" s="135">
        <f t="shared" si="7"/>
        <v>1</v>
      </c>
      <c r="F86" s="135">
        <f t="shared" si="7"/>
        <v>1</v>
      </c>
      <c r="G86" s="135">
        <f t="shared" si="7"/>
        <v>1</v>
      </c>
      <c r="H86" s="135">
        <f t="shared" si="7"/>
        <v>1</v>
      </c>
      <c r="I86" s="135">
        <f t="shared" si="7"/>
        <v>1</v>
      </c>
      <c r="J86" s="135">
        <f t="shared" si="7"/>
        <v>1</v>
      </c>
      <c r="K86" s="135">
        <f t="shared" si="7"/>
        <v>1</v>
      </c>
      <c r="L86" s="135">
        <f t="shared" si="7"/>
        <v>1</v>
      </c>
      <c r="M86" s="135">
        <f t="shared" si="7"/>
        <v>1</v>
      </c>
      <c r="N86" s="135">
        <f t="shared" si="7"/>
        <v>1</v>
      </c>
      <c r="O86" s="135">
        <f t="shared" si="7"/>
        <v>1</v>
      </c>
      <c r="P86" s="135">
        <f t="shared" si="7"/>
        <v>1</v>
      </c>
      <c r="Q86" s="3"/>
    </row>
    <row r="87" spans="2:17" ht="13.5" customHeight="1" x14ac:dyDescent="0.35">
      <c r="B87" s="75" t="s">
        <v>386</v>
      </c>
      <c r="C87" s="59" t="s">
        <v>521</v>
      </c>
      <c r="D87" s="80">
        <f>'13W Cash Flow'!D$73*(1+$D$7)*D86</f>
        <v>18127.899999999998</v>
      </c>
      <c r="E87" s="80">
        <f>'13W Cash Flow'!E$73*(1+$D$7)*E86</f>
        <v>20608.559999999998</v>
      </c>
      <c r="F87" s="80">
        <f>'13W Cash Flow'!F$73*(1+$D$7)*F86</f>
        <v>17555.439999999999</v>
      </c>
      <c r="G87" s="80">
        <f>'13W Cash Flow'!G$73*(1+$D$7)*G86</f>
        <v>17173.8</v>
      </c>
      <c r="H87" s="80">
        <f>'13W Cash Flow'!H$73*(1+$D$7)*H86</f>
        <v>17746.259999999998</v>
      </c>
      <c r="I87" s="80">
        <f>'13W Cash Flow'!I$73*(1+$D$7)*I86</f>
        <v>18509.539999999997</v>
      </c>
      <c r="J87" s="80">
        <f>'13W Cash Flow'!J$73*(1+$D$7)*J86</f>
        <v>19082</v>
      </c>
      <c r="K87" s="80">
        <f>'13W Cash Flow'!K$73*(1+$D$7)*K86</f>
        <v>19463.64</v>
      </c>
      <c r="L87" s="80">
        <f>'13W Cash Flow'!L$73*(1+$D$7)*L86</f>
        <v>18700.36</v>
      </c>
      <c r="M87" s="80">
        <f>'13W Cash Flow'!M$73*(1+$D$7)*M86</f>
        <v>19654.46</v>
      </c>
      <c r="N87" s="80">
        <f>'13W Cash Flow'!N$73*(1+$D$7)*N86</f>
        <v>20226.919999999998</v>
      </c>
      <c r="O87" s="80">
        <f>'13W Cash Flow'!O$73*(1+$D$7)*O86</f>
        <v>20990.199999999997</v>
      </c>
      <c r="P87" s="80">
        <f>'13W Cash Flow'!P$73*(1+$D$7)*P86</f>
        <v>21753.479999999996</v>
      </c>
      <c r="Q87" s="80">
        <f t="shared" ref="Q87:Q110" si="8">SUM(D87:P87)</f>
        <v>249592.56</v>
      </c>
    </row>
    <row r="88" spans="2:17" ht="13.5" customHeight="1" x14ac:dyDescent="0.35">
      <c r="B88" s="75" t="s">
        <v>478</v>
      </c>
      <c r="C88" s="59" t="s">
        <v>522</v>
      </c>
      <c r="D88" s="80">
        <f>'13W Cash Flow'!D$74*(1+$D$11)+'13W Cash Flow'!D$73*(1-D86)*$D$12</f>
        <v>20913.2</v>
      </c>
      <c r="E88" s="80">
        <f>'13W Cash Flow'!E$74*(1+$D$11)+'13W Cash Flow'!E$73*(1-E86)*$D$12</f>
        <v>22638</v>
      </c>
      <c r="F88" s="80">
        <f>'13W Cash Flow'!F$74*(1+$D$11)+'13W Cash Flow'!F$73*(1-F86)*$D$12</f>
        <v>20697.599999999999</v>
      </c>
      <c r="G88" s="80">
        <f>'13W Cash Flow'!G$74*(1+$D$11)+'13W Cash Flow'!G$73*(1-G86)*$D$12</f>
        <v>20482</v>
      </c>
      <c r="H88" s="80">
        <f>'13W Cash Flow'!H$74*(1+$D$11)+'13W Cash Flow'!H$73*(1-H86)*$D$12</f>
        <v>21344.400000000001</v>
      </c>
      <c r="I88" s="80">
        <f>'13W Cash Flow'!I$74*(1+$D$11)+'13W Cash Flow'!I$73*(1-I86)*$D$12</f>
        <v>21991.200000000001</v>
      </c>
      <c r="J88" s="80">
        <f>'13W Cash Flow'!J$74*(1+$D$11)+'13W Cash Flow'!J$73*(1-J86)*$D$12</f>
        <v>22422.400000000001</v>
      </c>
      <c r="K88" s="80">
        <f>'13W Cash Flow'!K$74*(1+$D$11)+'13W Cash Flow'!K$73*(1-K86)*$D$12</f>
        <v>22853.599999999999</v>
      </c>
      <c r="L88" s="80">
        <f>'13W Cash Flow'!L$74*(1+$D$11)+'13W Cash Flow'!L$73*(1-L86)*$D$12</f>
        <v>22638</v>
      </c>
      <c r="M88" s="80">
        <f>'13W Cash Flow'!M$74*(1+$D$11)+'13W Cash Flow'!M$73*(1-M86)*$D$12</f>
        <v>23284.799999999999</v>
      </c>
      <c r="N88" s="80">
        <f>'13W Cash Flow'!N$74*(1+$D$11)+'13W Cash Flow'!N$73*(1-N86)*$D$12</f>
        <v>24147.200000000004</v>
      </c>
      <c r="O88" s="80">
        <f>'13W Cash Flow'!O$74*(1+$D$11)+'13W Cash Flow'!O$73*(1-O86)*$D$12</f>
        <v>24793.999999999996</v>
      </c>
      <c r="P88" s="80">
        <f>'13W Cash Flow'!P$74*(1+$D$11)+'13W Cash Flow'!P$73*(1-P86)*$D$12</f>
        <v>25872</v>
      </c>
      <c r="Q88" s="80">
        <f t="shared" si="8"/>
        <v>294078.39999999997</v>
      </c>
    </row>
    <row r="89" spans="2:17" ht="13.5" customHeight="1" x14ac:dyDescent="0.35">
      <c r="B89" s="75" t="s">
        <v>479</v>
      </c>
      <c r="C89" s="59" t="s">
        <v>523</v>
      </c>
      <c r="D89" s="80">
        <f>'13W Cash Flow'!D$75</f>
        <v>0</v>
      </c>
      <c r="E89" s="80">
        <f>'13W Cash Flow'!E$75</f>
        <v>23280</v>
      </c>
      <c r="F89" s="80">
        <f>'13W Cash Flow'!F$75</f>
        <v>0</v>
      </c>
      <c r="G89" s="80">
        <f>'13W Cash Flow'!G$75</f>
        <v>0</v>
      </c>
      <c r="H89" s="80">
        <f>'13W Cash Flow'!H$75</f>
        <v>0</v>
      </c>
      <c r="I89" s="80">
        <f>'13W Cash Flow'!I$75</f>
        <v>0</v>
      </c>
      <c r="J89" s="80">
        <f>'13W Cash Flow'!J$75</f>
        <v>18624</v>
      </c>
      <c r="K89" s="80">
        <f>'13W Cash Flow'!K$75</f>
        <v>0</v>
      </c>
      <c r="L89" s="80">
        <f>'13W Cash Flow'!L$75</f>
        <v>0</v>
      </c>
      <c r="M89" s="80">
        <f>'13W Cash Flow'!M$75</f>
        <v>0</v>
      </c>
      <c r="N89" s="80">
        <f>'13W Cash Flow'!N$75</f>
        <v>32592</v>
      </c>
      <c r="O89" s="80">
        <f>'13W Cash Flow'!O$75</f>
        <v>0</v>
      </c>
      <c r="P89" s="80">
        <f>'13W Cash Flow'!P$75</f>
        <v>25608.000000000004</v>
      </c>
      <c r="Q89" s="80">
        <f t="shared" si="8"/>
        <v>100104</v>
      </c>
    </row>
    <row r="90" spans="2:17" ht="13.5" customHeight="1" x14ac:dyDescent="0.35">
      <c r="B90" s="75" t="s">
        <v>480</v>
      </c>
      <c r="C90" s="59" t="s">
        <v>523</v>
      </c>
      <c r="D90" s="80">
        <f>'13W Cash Flow'!D$76</f>
        <v>7536</v>
      </c>
      <c r="E90" s="80">
        <f>'13W Cash Flow'!E$76</f>
        <v>7850</v>
      </c>
      <c r="F90" s="80">
        <f>'13W Cash Flow'!F$76</f>
        <v>7457.5</v>
      </c>
      <c r="G90" s="80">
        <f>'13W Cash Flow'!G$76</f>
        <v>7379</v>
      </c>
      <c r="H90" s="80">
        <f>'13W Cash Flow'!H$76</f>
        <v>7614.5</v>
      </c>
      <c r="I90" s="80">
        <f>'13W Cash Flow'!I$76</f>
        <v>7850</v>
      </c>
      <c r="J90" s="80">
        <f>'13W Cash Flow'!J$76</f>
        <v>8007</v>
      </c>
      <c r="K90" s="80">
        <f>'13W Cash Flow'!K$76</f>
        <v>8085.5</v>
      </c>
      <c r="L90" s="80">
        <f>'13W Cash Flow'!L$76</f>
        <v>7928.5</v>
      </c>
      <c r="M90" s="80">
        <f>'13W Cash Flow'!M$76</f>
        <v>8242.5</v>
      </c>
      <c r="N90" s="80">
        <f>'13W Cash Flow'!N$76</f>
        <v>8478</v>
      </c>
      <c r="O90" s="80">
        <f>'13W Cash Flow'!O$76</f>
        <v>8635</v>
      </c>
      <c r="P90" s="80">
        <f>'13W Cash Flow'!P$76</f>
        <v>8792</v>
      </c>
      <c r="Q90" s="80">
        <f t="shared" si="8"/>
        <v>103855.5</v>
      </c>
    </row>
    <row r="91" spans="2:17" ht="13.5" customHeight="1" x14ac:dyDescent="0.35">
      <c r="B91" s="78" t="s">
        <v>326</v>
      </c>
      <c r="C91" s="21"/>
      <c r="D91" s="136">
        <f t="shared" ref="D91:P91" si="9">SUM(D87:D90)</f>
        <v>46577.1</v>
      </c>
      <c r="E91" s="136">
        <f t="shared" si="9"/>
        <v>74376.56</v>
      </c>
      <c r="F91" s="136">
        <f t="shared" si="9"/>
        <v>45710.539999999994</v>
      </c>
      <c r="G91" s="136">
        <f t="shared" si="9"/>
        <v>45034.8</v>
      </c>
      <c r="H91" s="136">
        <f t="shared" si="9"/>
        <v>46705.16</v>
      </c>
      <c r="I91" s="136">
        <f t="shared" si="9"/>
        <v>48350.74</v>
      </c>
      <c r="J91" s="136">
        <f t="shared" si="9"/>
        <v>68135.399999999994</v>
      </c>
      <c r="K91" s="136">
        <f t="shared" si="9"/>
        <v>50402.74</v>
      </c>
      <c r="L91" s="136">
        <f t="shared" si="9"/>
        <v>49266.86</v>
      </c>
      <c r="M91" s="136">
        <f t="shared" si="9"/>
        <v>51181.759999999995</v>
      </c>
      <c r="N91" s="136">
        <f t="shared" si="9"/>
        <v>85444.12</v>
      </c>
      <c r="O91" s="136">
        <f t="shared" si="9"/>
        <v>54419.199999999997</v>
      </c>
      <c r="P91" s="136">
        <f t="shared" si="9"/>
        <v>82025.48</v>
      </c>
      <c r="Q91" s="136">
        <f t="shared" si="8"/>
        <v>747630.46</v>
      </c>
    </row>
    <row r="92" spans="2:17" ht="13.5" customHeight="1" x14ac:dyDescent="0.35">
      <c r="B92" s="75" t="s">
        <v>328</v>
      </c>
      <c r="C92" s="21"/>
      <c r="D92" s="80">
        <f>D87*(1-Assumptions!$C$28-$D$8)+D88*(1-Assumptions!$C$29)+D89*(1-Assumptions!$C$30)+D90*(1-Assumptions!$C$31)</f>
        <v>18993.398000000001</v>
      </c>
      <c r="E92" s="80">
        <f>E87*(1-Assumptions!$C$28-$D$8)+E88*(1-Assumptions!$C$29)+E89*(1-Assumptions!$C$30)+E90*(1-Assumptions!$C$31)</f>
        <v>29231.5952</v>
      </c>
      <c r="F92" s="80">
        <f>F87*(1-Assumptions!$C$28-$D$8)+F88*(1-Assumptions!$C$29)+F89*(1-Assumptions!$C$30)+F90*(1-Assumptions!$C$31)</f>
        <v>18635.324799999999</v>
      </c>
      <c r="G92" s="80">
        <f>G87*(1-Assumptions!$C$28-$D$8)+G88*(1-Assumptions!$C$29)+G89*(1-Assumptions!$C$30)+G90*(1-Assumptions!$C$31)</f>
        <v>18357.396000000001</v>
      </c>
      <c r="H92" s="80">
        <f>H87*(1-Assumptions!$C$28-$D$8)+H88*(1-Assumptions!$C$29)+H89*(1-Assumptions!$C$30)+H90*(1-Assumptions!$C$31)</f>
        <v>19036.9892</v>
      </c>
      <c r="I92" s="80">
        <f>I87*(1-Assumptions!$C$28-$D$8)+I88*(1-Assumptions!$C$29)+I89*(1-Assumptions!$C$30)+I90*(1-Assumptions!$C$31)</f>
        <v>19710.486799999999</v>
      </c>
      <c r="J92" s="80">
        <f>J87*(1-Assumptions!$C$28-$D$8)+J88*(1-Assumptions!$C$29)+J89*(1-Assumptions!$C$30)+J90*(1-Assumptions!$C$31)</f>
        <v>26890.84</v>
      </c>
      <c r="K92" s="80">
        <f>K87*(1-Assumptions!$C$28-$D$8)+K88*(1-Assumptions!$C$29)+K89*(1-Assumptions!$C$30)+K90*(1-Assumptions!$C$31)</f>
        <v>20550.3688</v>
      </c>
      <c r="L92" s="80">
        <f>L87*(1-Assumptions!$C$28-$D$8)+L88*(1-Assumptions!$C$29)+L89*(1-Assumptions!$C$30)+L90*(1-Assumptions!$C$31)</f>
        <v>20080.751200000002</v>
      </c>
      <c r="M92" s="80">
        <f>M87*(1-Assumptions!$C$28-$D$8)+M88*(1-Assumptions!$C$29)+M89*(1-Assumptions!$C$30)+M90*(1-Assumptions!$C$31)</f>
        <v>20865.7932</v>
      </c>
      <c r="N92" s="80">
        <f>N87*(1-Assumptions!$C$28-$D$8)+N88*(1-Assumptions!$C$29)+N89*(1-Assumptions!$C$30)+N90*(1-Assumptions!$C$31)</f>
        <v>33278.506399999998</v>
      </c>
      <c r="O92" s="80">
        <f>O87*(1-Assumptions!$C$28-$D$8)+O88*(1-Assumptions!$C$29)+O89*(1-Assumptions!$C$30)+O90*(1-Assumptions!$C$31)</f>
        <v>22187.483999999997</v>
      </c>
      <c r="P92" s="80">
        <f>P87*(1-Assumptions!$C$28-$D$8)+P88*(1-Assumptions!$C$29)+P89*(1-Assumptions!$C$30)+P90*(1-Assumptions!$C$31)</f>
        <v>32220.941599999998</v>
      </c>
      <c r="Q92" s="80">
        <f t="shared" si="8"/>
        <v>300039.87520000001</v>
      </c>
    </row>
    <row r="93" spans="2:17" ht="13.5" customHeight="1" x14ac:dyDescent="0.35">
      <c r="B93" s="75" t="s">
        <v>524</v>
      </c>
      <c r="C93" s="59" t="s">
        <v>252</v>
      </c>
      <c r="D93" s="80">
        <f>D87*Assumptions!$C$67+IF(D85=1,Assumptions!$C$72,INDEX($D$87:$P$87,1,D85-1)*(1-Assumptions!$C$67))</f>
        <v>18197.667999999998</v>
      </c>
      <c r="E93" s="80">
        <f>E87*Assumptions!$C$67+IF(E85=1,Assumptions!$C$72,INDEX($D$87:$P$87,1,E85-1)*(1-Assumptions!$C$67))</f>
        <v>20410.107199999999</v>
      </c>
      <c r="F93" s="80">
        <f>F87*Assumptions!$C$67+IF(F85=1,Assumptions!$C$72,INDEX($D$87:$P$87,1,F85-1)*(1-Assumptions!$C$67))</f>
        <v>17799.689599999998</v>
      </c>
      <c r="G93" s="80">
        <f>G87*Assumptions!$C$67+IF(G85=1,Assumptions!$C$72,INDEX($D$87:$P$87,1,G85-1)*(1-Assumptions!$C$67))</f>
        <v>17204.331200000001</v>
      </c>
      <c r="H93" s="80">
        <f>H87*Assumptions!$C$67+IF(H85=1,Assumptions!$C$72,INDEX($D$87:$P$87,1,H85-1)*(1-Assumptions!$C$67))</f>
        <v>17700.463199999998</v>
      </c>
      <c r="I93" s="80">
        <f>I87*Assumptions!$C$67+IF(I85=1,Assumptions!$C$72,INDEX($D$87:$P$87,1,I85-1)*(1-Assumptions!$C$67))</f>
        <v>18448.477599999998</v>
      </c>
      <c r="J93" s="80">
        <f>J87*Assumptions!$C$67+IF(J85=1,Assumptions!$C$72,INDEX($D$87:$P$87,1,J85-1)*(1-Assumptions!$C$67))</f>
        <v>19036.2032</v>
      </c>
      <c r="K93" s="80">
        <f>K87*Assumptions!$C$67+IF(K85=1,Assumptions!$C$72,INDEX($D$87:$P$87,1,K85-1)*(1-Assumptions!$C$67))</f>
        <v>19433.108799999998</v>
      </c>
      <c r="L93" s="80">
        <f>L87*Assumptions!$C$67+IF(L85=1,Assumptions!$C$72,INDEX($D$87:$P$87,1,L85-1)*(1-Assumptions!$C$67))</f>
        <v>18761.422399999999</v>
      </c>
      <c r="M93" s="80">
        <f>M87*Assumptions!$C$67+IF(M85=1,Assumptions!$C$72,INDEX($D$87:$P$87,1,M85-1)*(1-Assumptions!$C$67))</f>
        <v>19578.132000000001</v>
      </c>
      <c r="N93" s="80">
        <f>N87*Assumptions!$C$67+IF(N85=1,Assumptions!$C$72,INDEX($D$87:$P$87,1,N85-1)*(1-Assumptions!$C$67))</f>
        <v>20181.123199999998</v>
      </c>
      <c r="O93" s="80">
        <f>O87*Assumptions!$C$67+IF(O85=1,Assumptions!$C$72,INDEX($D$87:$P$87,1,O85-1)*(1-Assumptions!$C$67))</f>
        <v>20929.137599999995</v>
      </c>
      <c r="P93" s="80">
        <f>P87*Assumptions!$C$67+IF(P85=1,Assumptions!$C$72,INDEX($D$87:$P$87,1,P85-1)*(1-Assumptions!$C$67))</f>
        <v>21692.417599999997</v>
      </c>
      <c r="Q93" s="80">
        <f t="shared" si="8"/>
        <v>249372.28159999999</v>
      </c>
    </row>
    <row r="94" spans="2:17" ht="13.5" customHeight="1" x14ac:dyDescent="0.35">
      <c r="B94" s="75" t="s">
        <v>253</v>
      </c>
      <c r="C94" s="59" t="s">
        <v>254</v>
      </c>
      <c r="D94" s="80">
        <f>D88*Assumptions!$C$68+IF(D85=1,Assumptions!$C$73,INDEX($D$88:$P$88,1,D85-1)*(1-Assumptions!$C$68))</f>
        <v>21016.22</v>
      </c>
      <c r="E94" s="80">
        <f>E88*Assumptions!$C$68+IF(E85=1,Assumptions!$C$73,INDEX($D$88:$P$88,1,E85-1)*(1-Assumptions!$C$68))</f>
        <v>22379.279999999999</v>
      </c>
      <c r="F94" s="80">
        <f>F88*Assumptions!$C$68+IF(F85=1,Assumptions!$C$73,INDEX($D$88:$P$88,1,F85-1)*(1-Assumptions!$C$68))</f>
        <v>20988.66</v>
      </c>
      <c r="G94" s="80">
        <f>G88*Assumptions!$C$68+IF(G85=1,Assumptions!$C$73,INDEX($D$88:$P$88,1,G85-1)*(1-Assumptions!$C$68))</f>
        <v>20514.34</v>
      </c>
      <c r="H94" s="80">
        <f>H88*Assumptions!$C$68+IF(H85=1,Assumptions!$C$73,INDEX($D$88:$P$88,1,H85-1)*(1-Assumptions!$C$68))</f>
        <v>21215.040000000001</v>
      </c>
      <c r="I94" s="80">
        <f>I88*Assumptions!$C$68+IF(I85=1,Assumptions!$C$73,INDEX($D$88:$P$88,1,I85-1)*(1-Assumptions!$C$68))</f>
        <v>21894.18</v>
      </c>
      <c r="J94" s="80">
        <f>J88*Assumptions!$C$68+IF(J85=1,Assumptions!$C$73,INDEX($D$88:$P$88,1,J85-1)*(1-Assumptions!$C$68))</f>
        <v>22357.72</v>
      </c>
      <c r="K94" s="80">
        <f>K88*Assumptions!$C$68+IF(K85=1,Assumptions!$C$73,INDEX($D$88:$P$88,1,K85-1)*(1-Assumptions!$C$68))</f>
        <v>22788.92</v>
      </c>
      <c r="L94" s="80">
        <f>L88*Assumptions!$C$68+IF(L85=1,Assumptions!$C$73,INDEX($D$88:$P$88,1,L85-1)*(1-Assumptions!$C$68))</f>
        <v>22670.34</v>
      </c>
      <c r="M94" s="80">
        <f>M88*Assumptions!$C$68+IF(M85=1,Assumptions!$C$73,INDEX($D$88:$P$88,1,M85-1)*(1-Assumptions!$C$68))</f>
        <v>23187.78</v>
      </c>
      <c r="N94" s="80">
        <f>N88*Assumptions!$C$68+IF(N85=1,Assumptions!$C$73,INDEX($D$88:$P$88,1,N85-1)*(1-Assumptions!$C$68))</f>
        <v>24017.840000000004</v>
      </c>
      <c r="O94" s="80">
        <f>O88*Assumptions!$C$68+IF(O85=1,Assumptions!$C$73,INDEX($D$88:$P$88,1,O85-1)*(1-Assumptions!$C$68))</f>
        <v>24696.98</v>
      </c>
      <c r="P94" s="80">
        <f>P88*Assumptions!$C$68+IF(P85=1,Assumptions!$C$73,INDEX($D$88:$P$88,1,P85-1)*(1-Assumptions!$C$68))</f>
        <v>25710.3</v>
      </c>
      <c r="Q94" s="80">
        <f t="shared" si="8"/>
        <v>293437.59999999998</v>
      </c>
    </row>
    <row r="95" spans="2:17" ht="13.5" customHeight="1" x14ac:dyDescent="0.35">
      <c r="B95" s="75" t="s">
        <v>255</v>
      </c>
      <c r="C95" s="59" t="s">
        <v>256</v>
      </c>
      <c r="D95" s="80">
        <f>D89*Assumptions!$C$69+IF(D85=1,0,INDEX($D$89:$P$89,1,D85-1)*(1-Assumptions!$C$69))</f>
        <v>0</v>
      </c>
      <c r="E95" s="80">
        <f>E89*Assumptions!$C$69+IF(E85=1,0,INDEX($D$89:$P$89,1,E85-1)*(1-Assumptions!$C$69))</f>
        <v>23280</v>
      </c>
      <c r="F95" s="80">
        <f>F89*Assumptions!$C$69+IF(F85=1,0,INDEX($D$89:$P$89,1,F85-1)*(1-Assumptions!$C$69))</f>
        <v>0</v>
      </c>
      <c r="G95" s="80">
        <f>G89*Assumptions!$C$69+IF(G85=1,0,INDEX($D$89:$P$89,1,G85-1)*(1-Assumptions!$C$69))</f>
        <v>0</v>
      </c>
      <c r="H95" s="80">
        <f>H89*Assumptions!$C$69+IF(H85=1,0,INDEX($D$89:$P$89,1,H85-1)*(1-Assumptions!$C$69))</f>
        <v>0</v>
      </c>
      <c r="I95" s="80">
        <f>I89*Assumptions!$C$69+IF(I85=1,0,INDEX($D$89:$P$89,1,I85-1)*(1-Assumptions!$C$69))</f>
        <v>0</v>
      </c>
      <c r="J95" s="80">
        <f>J89*Assumptions!$C$69+IF(J85=1,0,INDEX($D$89:$P$89,1,J85-1)*(1-Assumptions!$C$69))</f>
        <v>18624</v>
      </c>
      <c r="K95" s="80">
        <f>K89*Assumptions!$C$69+IF(K85=1,0,INDEX($D$89:$P$89,1,K85-1)*(1-Assumptions!$C$69))</f>
        <v>0</v>
      </c>
      <c r="L95" s="80">
        <f>L89*Assumptions!$C$69+IF(L85=1,0,INDEX($D$89:$P$89,1,L85-1)*(1-Assumptions!$C$69))</f>
        <v>0</v>
      </c>
      <c r="M95" s="80">
        <f>M89*Assumptions!$C$69+IF(M85=1,0,INDEX($D$89:$P$89,1,M85-1)*(1-Assumptions!$C$69))</f>
        <v>0</v>
      </c>
      <c r="N95" s="80">
        <f>N89*Assumptions!$C$69+IF(N85=1,0,INDEX($D$89:$P$89,1,N85-1)*(1-Assumptions!$C$69))</f>
        <v>32592</v>
      </c>
      <c r="O95" s="80">
        <f>O89*Assumptions!$C$69+IF(O85=1,0,INDEX($D$89:$P$89,1,O85-1)*(1-Assumptions!$C$69))</f>
        <v>0</v>
      </c>
      <c r="P95" s="80">
        <f>P89*Assumptions!$C$69+IF(P85=1,0,INDEX($D$89:$P$89,1,P85-1)*(1-Assumptions!$C$69))</f>
        <v>25608.000000000004</v>
      </c>
      <c r="Q95" s="80">
        <f t="shared" si="8"/>
        <v>100104</v>
      </c>
    </row>
    <row r="96" spans="2:17" ht="13.5" customHeight="1" x14ac:dyDescent="0.35">
      <c r="B96" s="75" t="s">
        <v>525</v>
      </c>
      <c r="C96" s="59" t="s">
        <v>258</v>
      </c>
      <c r="D96" s="80">
        <f>IF(D85&lt;=Assumptions!$C$70,Assumptions!$C$74/Assumptions!$C$70,INDEX($D$90:$P$90,1,D85-Assumptions!$C$70)*(1-Assumptions!$C$42))</f>
        <v>5495</v>
      </c>
      <c r="E96" s="80">
        <f>IF(E85&lt;=Assumptions!$C$70,Assumptions!$C$74/Assumptions!$C$70,INDEX($D$90:$P$90,1,E85-Assumptions!$C$70)*(1-Assumptions!$C$42))</f>
        <v>5495</v>
      </c>
      <c r="F96" s="80">
        <f>IF(F85&lt;=Assumptions!$C$70,Assumptions!$C$74/Assumptions!$C$70,INDEX($D$90:$P$90,1,F85-Assumptions!$C$70)*(1-Assumptions!$C$42))</f>
        <v>5495</v>
      </c>
      <c r="G96" s="80">
        <f>IF(G85&lt;=Assumptions!$C$70,Assumptions!$C$74/Assumptions!$C$70,INDEX($D$90:$P$90,1,G85-Assumptions!$C$70)*(1-Assumptions!$C$42))</f>
        <v>5495</v>
      </c>
      <c r="H96" s="80">
        <f>IF(H85&lt;=Assumptions!$C$70,Assumptions!$C$74/Assumptions!$C$70,INDEX($D$90:$P$90,1,H85-Assumptions!$C$70)*(1-Assumptions!$C$42))</f>
        <v>5275.2</v>
      </c>
      <c r="I96" s="80">
        <f>IF(I85&lt;=Assumptions!$C$70,Assumptions!$C$74/Assumptions!$C$70,INDEX($D$90:$P$90,1,I85-Assumptions!$C$70)*(1-Assumptions!$C$42))</f>
        <v>5495</v>
      </c>
      <c r="J96" s="80">
        <f>IF(J85&lt;=Assumptions!$C$70,Assumptions!$C$74/Assumptions!$C$70,INDEX($D$90:$P$90,1,J85-Assumptions!$C$70)*(1-Assumptions!$C$42))</f>
        <v>5220.25</v>
      </c>
      <c r="K96" s="80">
        <f>IF(K85&lt;=Assumptions!$C$70,Assumptions!$C$74/Assumptions!$C$70,INDEX($D$90:$P$90,1,K85-Assumptions!$C$70)*(1-Assumptions!$C$42))</f>
        <v>5165.2999999999993</v>
      </c>
      <c r="L96" s="80">
        <f>IF(L85&lt;=Assumptions!$C$70,Assumptions!$C$74/Assumptions!$C$70,INDEX($D$90:$P$90,1,L85-Assumptions!$C$70)*(1-Assumptions!$C$42))</f>
        <v>5330.15</v>
      </c>
      <c r="M96" s="80">
        <f>IF(M85&lt;=Assumptions!$C$70,Assumptions!$C$74/Assumptions!$C$70,INDEX($D$90:$P$90,1,M85-Assumptions!$C$70)*(1-Assumptions!$C$42))</f>
        <v>5495</v>
      </c>
      <c r="N96" s="80">
        <f>IF(N85&lt;=Assumptions!$C$70,Assumptions!$C$74/Assumptions!$C$70,INDEX($D$90:$P$90,1,N85-Assumptions!$C$70)*(1-Assumptions!$C$42))</f>
        <v>5604.9</v>
      </c>
      <c r="O96" s="80">
        <f>IF(O85&lt;=Assumptions!$C$70,Assumptions!$C$74/Assumptions!$C$70,INDEX($D$90:$P$90,1,O85-Assumptions!$C$70)*(1-Assumptions!$C$42))</f>
        <v>5659.8499999999995</v>
      </c>
      <c r="P96" s="80">
        <f>IF(P85&lt;=Assumptions!$C$70,Assumptions!$C$74/Assumptions!$C$70,INDEX($D$90:$P$90,1,P85-Assumptions!$C$70)*(1-Assumptions!$C$42))</f>
        <v>5549.95</v>
      </c>
      <c r="Q96" s="80">
        <f t="shared" si="8"/>
        <v>70775.600000000006</v>
      </c>
    </row>
    <row r="97" spans="2:17" ht="13.5" customHeight="1" x14ac:dyDescent="0.35">
      <c r="B97" s="75" t="s">
        <v>526</v>
      </c>
      <c r="C97" s="59" t="s">
        <v>260</v>
      </c>
      <c r="D97" s="80">
        <f>IF(D85=$D$20,$D$19,0)+IF(D85=Assumptions!$C$125,Assumptions!$C$124,0)</f>
        <v>0</v>
      </c>
      <c r="E97" s="80">
        <f>IF(E85=$D$20,$D$19,0)+IF(E85=Assumptions!$C$125,Assumptions!$C$124,0)</f>
        <v>0</v>
      </c>
      <c r="F97" s="80">
        <f>IF(F85=$D$20,$D$19,0)+IF(F85=Assumptions!$C$125,Assumptions!$C$124,0)</f>
        <v>0</v>
      </c>
      <c r="G97" s="80">
        <f>IF(G85=$D$20,$D$19,0)+IF(G85=Assumptions!$C$125,Assumptions!$C$124,0)</f>
        <v>0</v>
      </c>
      <c r="H97" s="80">
        <f>IF(H85=$D$20,$D$19,0)+IF(H85=Assumptions!$C$125,Assumptions!$C$124,0)</f>
        <v>0</v>
      </c>
      <c r="I97" s="80">
        <f>IF(I85=$D$20,$D$19,0)+IF(I85=Assumptions!$C$125,Assumptions!$C$124,0)</f>
        <v>0</v>
      </c>
      <c r="J97" s="80">
        <f>IF(J85=$D$20,$D$19,0)+IF(J85=Assumptions!$C$125,Assumptions!$C$124,0)</f>
        <v>0</v>
      </c>
      <c r="K97" s="80">
        <f>IF(K85=$D$20,$D$19,0)+IF(K85=Assumptions!$C$125,Assumptions!$C$124,0)</f>
        <v>0</v>
      </c>
      <c r="L97" s="80">
        <f>IF(L85=$D$20,$D$19,0)+IF(L85=Assumptions!$C$125,Assumptions!$C$124,0)</f>
        <v>0</v>
      </c>
      <c r="M97" s="80">
        <f>IF(M85=$D$20,$D$19,0)+IF(M85=Assumptions!$C$125,Assumptions!$C$124,0)</f>
        <v>0</v>
      </c>
      <c r="N97" s="80">
        <f>IF(N85=$D$20,$D$19,0)+IF(N85=Assumptions!$C$125,Assumptions!$C$124,0)</f>
        <v>0</v>
      </c>
      <c r="O97" s="80">
        <f>IF(O85=$D$20,$D$19,0)+IF(O85=Assumptions!$C$125,Assumptions!$C$124,0)</f>
        <v>0</v>
      </c>
      <c r="P97" s="80">
        <f>IF(P85=$D$20,$D$19,0)+IF(P85=Assumptions!$C$125,Assumptions!$C$124,0)</f>
        <v>0</v>
      </c>
      <c r="Q97" s="80">
        <f t="shared" si="8"/>
        <v>0</v>
      </c>
    </row>
    <row r="98" spans="2:17" ht="13.5" customHeight="1" x14ac:dyDescent="0.35">
      <c r="B98" s="78" t="s">
        <v>261</v>
      </c>
      <c r="C98" s="21"/>
      <c r="D98" s="136">
        <f t="shared" ref="D98:P98" si="10">SUM(D93:D97)</f>
        <v>44708.887999999999</v>
      </c>
      <c r="E98" s="136">
        <f t="shared" si="10"/>
        <v>71564.387199999997</v>
      </c>
      <c r="F98" s="136">
        <f t="shared" si="10"/>
        <v>44283.349600000001</v>
      </c>
      <c r="G98" s="136">
        <f t="shared" si="10"/>
        <v>43213.671199999997</v>
      </c>
      <c r="H98" s="136">
        <f t="shared" si="10"/>
        <v>44190.703199999996</v>
      </c>
      <c r="I98" s="136">
        <f t="shared" si="10"/>
        <v>45837.657599999999</v>
      </c>
      <c r="J98" s="136">
        <f t="shared" si="10"/>
        <v>65238.173200000005</v>
      </c>
      <c r="K98" s="136">
        <f t="shared" si="10"/>
        <v>47387.328800000003</v>
      </c>
      <c r="L98" s="136">
        <f t="shared" si="10"/>
        <v>46761.912400000001</v>
      </c>
      <c r="M98" s="136">
        <f t="shared" si="10"/>
        <v>48260.911999999997</v>
      </c>
      <c r="N98" s="136">
        <f t="shared" si="10"/>
        <v>82395.863199999993</v>
      </c>
      <c r="O98" s="136">
        <f t="shared" si="10"/>
        <v>51285.967599999996</v>
      </c>
      <c r="P98" s="136">
        <f t="shared" si="10"/>
        <v>78560.667600000001</v>
      </c>
      <c r="Q98" s="136">
        <f t="shared" si="8"/>
        <v>713689.48160000006</v>
      </c>
    </row>
    <row r="99" spans="2:17" ht="13.5" customHeight="1" x14ac:dyDescent="0.35">
      <c r="B99" s="75" t="s">
        <v>263</v>
      </c>
      <c r="C99" s="59" t="s">
        <v>527</v>
      </c>
      <c r="D99" s="80">
        <f>D92*Assumptions!$C$76*IF(D86=1,1,$D$21)+SUMIFS(Assumptions!$C$116:$C$119,Assumptions!$D$116:$D$119,D85)</f>
        <v>11016.170840000001</v>
      </c>
      <c r="E99" s="80">
        <f>E92*Assumptions!$C$76*IF(E86=1,1,$D$21)+SUMIFS(Assumptions!$C$116:$C$119,Assumptions!$D$116:$D$119,E85)</f>
        <v>70954.325215999997</v>
      </c>
      <c r="F99" s="80">
        <f>F92*Assumptions!$C$76*IF(F86=1,1,$D$21)+SUMIFS(Assumptions!$C$116:$C$119,Assumptions!$D$116:$D$119,F85)</f>
        <v>10808.488383999998</v>
      </c>
      <c r="G99" s="80">
        <f>G92*Assumptions!$C$76*IF(G86=1,1,$D$21)+SUMIFS(Assumptions!$C$116:$C$119,Assumptions!$D$116:$D$119,G85)</f>
        <v>10647.28968</v>
      </c>
      <c r="H99" s="80">
        <f>H92*Assumptions!$C$76*IF(H86=1,1,$D$21)+SUMIFS(Assumptions!$C$116:$C$119,Assumptions!$D$116:$D$119,H85)</f>
        <v>57041.453735999996</v>
      </c>
      <c r="I99" s="80">
        <f>I92*Assumptions!$C$76*IF(I86=1,1,$D$21)+SUMIFS(Assumptions!$C$116:$C$119,Assumptions!$D$116:$D$119,I85)</f>
        <v>11432.082343999999</v>
      </c>
      <c r="J99" s="80">
        <f>J92*Assumptions!$C$76*IF(J86=1,1,$D$21)+SUMIFS(Assumptions!$C$116:$C$119,Assumptions!$D$116:$D$119,J85)</f>
        <v>15596.687199999998</v>
      </c>
      <c r="K99" s="80">
        <f>K92*Assumptions!$C$76*IF(K86=1,1,$D$21)+SUMIFS(Assumptions!$C$116:$C$119,Assumptions!$D$116:$D$119,K85)</f>
        <v>93919.213904000004</v>
      </c>
      <c r="L99" s="80">
        <f>L92*Assumptions!$C$76*IF(L86=1,1,$D$21)+SUMIFS(Assumptions!$C$116:$C$119,Assumptions!$D$116:$D$119,L85)</f>
        <v>11646.835696</v>
      </c>
      <c r="M99" s="80">
        <f>M92*Assumptions!$C$76*IF(M86=1,1,$D$21)+SUMIFS(Assumptions!$C$116:$C$119,Assumptions!$D$116:$D$119,M85)</f>
        <v>12102.160055999999</v>
      </c>
      <c r="N99" s="80">
        <f>N92*Assumptions!$C$76*IF(N86=1,1,$D$21)+SUMIFS(Assumptions!$C$116:$C$119,Assumptions!$D$116:$D$119,N85)</f>
        <v>72301.533712000004</v>
      </c>
      <c r="O99" s="80">
        <f>O92*Assumptions!$C$76*IF(O86=1,1,$D$21)+SUMIFS(Assumptions!$C$116:$C$119,Assumptions!$D$116:$D$119,O85)</f>
        <v>12868.740719999998</v>
      </c>
      <c r="P99" s="80">
        <f>P92*Assumptions!$C$76*IF(P86=1,1,$D$21)+SUMIFS(Assumptions!$C$116:$C$119,Assumptions!$D$116:$D$119,P85)</f>
        <v>18688.146127999997</v>
      </c>
      <c r="Q99" s="80">
        <f t="shared" si="8"/>
        <v>409023.12761600001</v>
      </c>
    </row>
    <row r="100" spans="2:17" ht="13.5" customHeight="1" x14ac:dyDescent="0.35">
      <c r="B100" s="75" t="s">
        <v>528</v>
      </c>
      <c r="C100" s="59" t="s">
        <v>161</v>
      </c>
      <c r="D100" s="80">
        <f>(Assumptions!$C$47*(1+$D$9)*D$183+Assumptions!$C$92)*'13W Cash Flow'!D$70</f>
        <v>0</v>
      </c>
      <c r="E100" s="80">
        <f>(Assumptions!$C$47*(1+$D$9)*E$183+Assumptions!$C$92)*'13W Cash Flow'!E$70</f>
        <v>0</v>
      </c>
      <c r="F100" s="80">
        <f>(Assumptions!$C$47*(1+$D$9)*F$183+Assumptions!$C$92)*'13W Cash Flow'!F$70</f>
        <v>0</v>
      </c>
      <c r="G100" s="80">
        <f>(Assumptions!$C$47*(1+$D$9)*G$183+Assumptions!$C$92)*'13W Cash Flow'!G$70</f>
        <v>0</v>
      </c>
      <c r="H100" s="80">
        <f>(Assumptions!$C$47*(1+$D$9)*H$183+Assumptions!$C$92)*'13W Cash Flow'!H$70</f>
        <v>44700</v>
      </c>
      <c r="I100" s="80">
        <f>(Assumptions!$C$47*(1+$D$9)*I$183+Assumptions!$C$92)*'13W Cash Flow'!I$70</f>
        <v>0</v>
      </c>
      <c r="J100" s="80">
        <f>(Assumptions!$C$47*(1+$D$9)*J$183+Assumptions!$C$92)*'13W Cash Flow'!J$70</f>
        <v>0</v>
      </c>
      <c r="K100" s="80">
        <f>(Assumptions!$C$47*(1+$D$9)*K$183+Assumptions!$C$92)*'13W Cash Flow'!K$70</f>
        <v>0</v>
      </c>
      <c r="L100" s="80">
        <f>(Assumptions!$C$47*(1+$D$9)*L$183+Assumptions!$C$92)*'13W Cash Flow'!L$70</f>
        <v>44700</v>
      </c>
      <c r="M100" s="80">
        <f>(Assumptions!$C$47*(1+$D$9)*M$183+Assumptions!$C$92)*'13W Cash Flow'!M$70</f>
        <v>0</v>
      </c>
      <c r="N100" s="80">
        <f>(Assumptions!$C$47*(1+$D$9)*N$183+Assumptions!$C$92)*'13W Cash Flow'!N$70</f>
        <v>0</v>
      </c>
      <c r="O100" s="80">
        <f>(Assumptions!$C$47*(1+$D$9)*O$183+Assumptions!$C$92)*'13W Cash Flow'!O$70</f>
        <v>0</v>
      </c>
      <c r="P100" s="80">
        <f>(Assumptions!$C$47*(1+$D$9)*P$183+Assumptions!$C$92)*'13W Cash Flow'!P$70</f>
        <v>44700</v>
      </c>
      <c r="Q100" s="80">
        <f t="shared" si="8"/>
        <v>134100</v>
      </c>
    </row>
    <row r="101" spans="2:17" ht="13.5" customHeight="1" x14ac:dyDescent="0.35">
      <c r="B101" s="75" t="s">
        <v>529</v>
      </c>
      <c r="C101" s="59" t="s">
        <v>530</v>
      </c>
      <c r="D101" s="80">
        <f>D86*(Assumptions!$C$46*'13W Cash Flow'!D$65+(Assumptions!$C$48*'13W Cash Flow'!D$68+Assumptions!$C$49*'13W Cash Flow'!D$67+Assumptions!$C$50*'13W Cash Flow'!D$65)*(1+$D$10))</f>
        <v>0</v>
      </c>
      <c r="E101" s="80">
        <f>E86*(Assumptions!$C$46*'13W Cash Flow'!E$65+(Assumptions!$C$48*'13W Cash Flow'!E$68+Assumptions!$C$49*'13W Cash Flow'!E$67+Assumptions!$C$50*'13W Cash Flow'!E$65)*(1+$D$10))</f>
        <v>3050</v>
      </c>
      <c r="F101" s="80">
        <f>F86*(Assumptions!$C$46*'13W Cash Flow'!F$65+(Assumptions!$C$48*'13W Cash Flow'!F$68+Assumptions!$C$49*'13W Cash Flow'!F$67+Assumptions!$C$50*'13W Cash Flow'!F$65)*(1+$D$10))</f>
        <v>0</v>
      </c>
      <c r="G101" s="80">
        <f>G86*(Assumptions!$C$46*'13W Cash Flow'!G$65+(Assumptions!$C$48*'13W Cash Flow'!G$68+Assumptions!$C$49*'13W Cash Flow'!G$67+Assumptions!$C$50*'13W Cash Flow'!G$65)*(1+$D$10))</f>
        <v>0</v>
      </c>
      <c r="H101" s="80">
        <f>H86*(Assumptions!$C$46*'13W Cash Flow'!H$65+(Assumptions!$C$48*'13W Cash Flow'!H$68+Assumptions!$C$49*'13W Cash Flow'!H$67+Assumptions!$C$50*'13W Cash Flow'!H$65)*(1+$D$10))</f>
        <v>22900</v>
      </c>
      <c r="I101" s="80">
        <f>I86*(Assumptions!$C$46*'13W Cash Flow'!I$65+(Assumptions!$C$48*'13W Cash Flow'!I$68+Assumptions!$C$49*'13W Cash Flow'!I$67+Assumptions!$C$50*'13W Cash Flow'!I$65)*(1+$D$10))</f>
        <v>450</v>
      </c>
      <c r="J101" s="80">
        <f>J86*(Assumptions!$C$46*'13W Cash Flow'!J$65+(Assumptions!$C$48*'13W Cash Flow'!J$68+Assumptions!$C$49*'13W Cash Flow'!J$67+Assumptions!$C$50*'13W Cash Flow'!J$65)*(1+$D$10))</f>
        <v>2600</v>
      </c>
      <c r="K101" s="80">
        <f>K86*(Assumptions!$C$46*'13W Cash Flow'!K$65+(Assumptions!$C$48*'13W Cash Flow'!K$68+Assumptions!$C$49*'13W Cash Flow'!K$67+Assumptions!$C$50*'13W Cash Flow'!K$65)*(1+$D$10))</f>
        <v>0</v>
      </c>
      <c r="L101" s="80">
        <f>L86*(Assumptions!$C$46*'13W Cash Flow'!L$65+(Assumptions!$C$48*'13W Cash Flow'!L$68+Assumptions!$C$49*'13W Cash Flow'!L$67+Assumptions!$C$50*'13W Cash Flow'!L$65)*(1+$D$10))</f>
        <v>22900</v>
      </c>
      <c r="M101" s="80">
        <f>M86*(Assumptions!$C$46*'13W Cash Flow'!M$65+(Assumptions!$C$48*'13W Cash Flow'!M$68+Assumptions!$C$49*'13W Cash Flow'!M$67+Assumptions!$C$50*'13W Cash Flow'!M$65)*(1+$D$10))</f>
        <v>450</v>
      </c>
      <c r="N101" s="80">
        <f>N86*(Assumptions!$C$46*'13W Cash Flow'!N$65+(Assumptions!$C$48*'13W Cash Flow'!N$68+Assumptions!$C$49*'13W Cash Flow'!N$67+Assumptions!$C$50*'13W Cash Flow'!N$65)*(1+$D$10))</f>
        <v>2600</v>
      </c>
      <c r="O101" s="80">
        <f>O86*(Assumptions!$C$46*'13W Cash Flow'!O$65+(Assumptions!$C$48*'13W Cash Flow'!O$68+Assumptions!$C$49*'13W Cash Flow'!O$67+Assumptions!$C$50*'13W Cash Flow'!O$65)*(1+$D$10))</f>
        <v>0</v>
      </c>
      <c r="P101" s="80">
        <f>P86*(Assumptions!$C$46*'13W Cash Flow'!P$65+(Assumptions!$C$48*'13W Cash Flow'!P$68+Assumptions!$C$49*'13W Cash Flow'!P$67+Assumptions!$C$50*'13W Cash Flow'!P$65)*(1+$D$10))</f>
        <v>22900</v>
      </c>
      <c r="Q101" s="80">
        <f t="shared" si="8"/>
        <v>77850</v>
      </c>
    </row>
    <row r="102" spans="2:17" ht="13.5" customHeight="1" x14ac:dyDescent="0.35">
      <c r="B102" s="75" t="s">
        <v>531</v>
      </c>
      <c r="C102" s="59" t="s">
        <v>270</v>
      </c>
      <c r="D102" s="80">
        <f>D88*Assumptions!$C$40*$D$13+Assumptions!$C$62*'13W Cash Flow'!D$67</f>
        <v>1882.1880000000001</v>
      </c>
      <c r="E102" s="80">
        <f>E88*Assumptions!$C$40*$D$13+Assumptions!$C$62*'13W Cash Flow'!E$67</f>
        <v>6537.42</v>
      </c>
      <c r="F102" s="80">
        <f>F88*Assumptions!$C$40*$D$13+Assumptions!$C$62*'13W Cash Flow'!F$67</f>
        <v>1862.7839999999999</v>
      </c>
      <c r="G102" s="80">
        <f>G88*Assumptions!$C$40*$D$13+Assumptions!$C$62*'13W Cash Flow'!G$67</f>
        <v>1843.3799999999999</v>
      </c>
      <c r="H102" s="80">
        <f>H88*Assumptions!$C$40*$D$13+Assumptions!$C$62*'13W Cash Flow'!H$67</f>
        <v>1920.9960000000001</v>
      </c>
      <c r="I102" s="80">
        <f>I88*Assumptions!$C$40*$D$13+Assumptions!$C$62*'13W Cash Flow'!I$67</f>
        <v>6479.2080000000005</v>
      </c>
      <c r="J102" s="80">
        <f>J88*Assumptions!$C$40*$D$13+Assumptions!$C$62*'13W Cash Flow'!J$67</f>
        <v>2018.0160000000001</v>
      </c>
      <c r="K102" s="80">
        <f>K88*Assumptions!$C$40*$D$13+Assumptions!$C$62*'13W Cash Flow'!K$67</f>
        <v>2056.8239999999996</v>
      </c>
      <c r="L102" s="80">
        <f>L88*Assumptions!$C$40*$D$13+Assumptions!$C$62*'13W Cash Flow'!L$67</f>
        <v>2037.4199999999998</v>
      </c>
      <c r="M102" s="80">
        <f>M88*Assumptions!$C$40*$D$13+Assumptions!$C$62*'13W Cash Flow'!M$67</f>
        <v>6595.6319999999996</v>
      </c>
      <c r="N102" s="80">
        <f>N88*Assumptions!$C$40*$D$13+Assumptions!$C$62*'13W Cash Flow'!N$67</f>
        <v>2173.2480000000005</v>
      </c>
      <c r="O102" s="80">
        <f>O88*Assumptions!$C$40*$D$13+Assumptions!$C$62*'13W Cash Flow'!O$67</f>
        <v>2231.4599999999996</v>
      </c>
      <c r="P102" s="80">
        <f>P88*Assumptions!$C$40*$D$13+Assumptions!$C$62*'13W Cash Flow'!P$67</f>
        <v>2328.48</v>
      </c>
      <c r="Q102" s="80">
        <f t="shared" si="8"/>
        <v>39967.056000000004</v>
      </c>
    </row>
    <row r="103" spans="2:17" ht="13.5" customHeight="1" x14ac:dyDescent="0.35">
      <c r="B103" s="75" t="s">
        <v>350</v>
      </c>
      <c r="C103" s="59" t="s">
        <v>272</v>
      </c>
      <c r="D103" s="80">
        <f>D88*Assumptions!$C$39+D90*Assumptions!$C$43</f>
        <v>1472.3980000000001</v>
      </c>
      <c r="E103" s="80">
        <f>E88*Assumptions!$C$39+E90*Assumptions!$C$43</f>
        <v>1589.22</v>
      </c>
      <c r="F103" s="80">
        <f>F88*Assumptions!$C$39+F90*Assumptions!$C$43</f>
        <v>1457.2065</v>
      </c>
      <c r="G103" s="80">
        <f>G88*Assumptions!$C$39+G90*Assumptions!$C$43</f>
        <v>1442.0150000000001</v>
      </c>
      <c r="H103" s="80">
        <f>H88*Assumptions!$C$39+H90*Assumptions!$C$43</f>
        <v>1501.6035000000002</v>
      </c>
      <c r="I103" s="80">
        <f>I88*Assumptions!$C$39+I90*Assumptions!$C$43</f>
        <v>1547.1780000000001</v>
      </c>
      <c r="J103" s="80">
        <f>J88*Assumptions!$C$39+J90*Assumptions!$C$43</f>
        <v>1577.5610000000001</v>
      </c>
      <c r="K103" s="80">
        <f>K88*Assumptions!$C$39+K90*Assumptions!$C$43</f>
        <v>1606.7665</v>
      </c>
      <c r="L103" s="80">
        <f>L88*Assumptions!$C$39+L90*Assumptions!$C$43</f>
        <v>1590.3975</v>
      </c>
      <c r="M103" s="80">
        <f>M88*Assumptions!$C$39+M90*Assumptions!$C$43</f>
        <v>1637.1495</v>
      </c>
      <c r="N103" s="80">
        <f>N88*Assumptions!$C$39+N90*Assumptions!$C$43</f>
        <v>1696.7380000000005</v>
      </c>
      <c r="O103" s="80">
        <f>O88*Assumptions!$C$39+O90*Assumptions!$C$43</f>
        <v>1741.135</v>
      </c>
      <c r="P103" s="80">
        <f>P88*Assumptions!$C$39+P90*Assumptions!$C$43</f>
        <v>1813.56</v>
      </c>
      <c r="Q103" s="80">
        <f t="shared" si="8"/>
        <v>20672.928500000002</v>
      </c>
    </row>
    <row r="104" spans="2:17" ht="13.5" customHeight="1" x14ac:dyDescent="0.35">
      <c r="B104" s="75" t="s">
        <v>273</v>
      </c>
      <c r="C104" s="59" t="s">
        <v>272</v>
      </c>
      <c r="D104" s="80">
        <f>D87*Assumptions!$C$34+D88*Assumptions!$C$35+D89*Assumptions!$C$36</f>
        <v>932.78499999999985</v>
      </c>
      <c r="E104" s="80">
        <f>E87*Assumptions!$C$34+E88*Assumptions!$C$35+E89*Assumptions!$C$36</f>
        <v>1469.7760799999999</v>
      </c>
      <c r="F104" s="80">
        <f>F87*Assumptions!$C$34+F88*Assumptions!$C$35+F89*Assumptions!$C$36</f>
        <v>916.22831999999994</v>
      </c>
      <c r="G104" s="80">
        <f>G87*Assumptions!$C$34+G88*Assumptions!$C$35+G89*Assumptions!$C$36</f>
        <v>903.10640000000001</v>
      </c>
      <c r="H104" s="80">
        <f>H87*Assumptions!$C$34+H88*Assumptions!$C$35+H89*Assumptions!$C$36</f>
        <v>938.42028000000005</v>
      </c>
      <c r="I104" s="80">
        <f>I87*Assumptions!$C$34+I88*Assumptions!$C$35+I89*Assumptions!$C$36</f>
        <v>970.91651999999999</v>
      </c>
      <c r="J104" s="80">
        <f>J87*Assumptions!$C$34+J88*Assumptions!$C$35+J89*Assumptions!$C$36</f>
        <v>1347.5816</v>
      </c>
      <c r="K104" s="80">
        <f>K87*Assumptions!$C$34+K88*Assumptions!$C$35+K89*Assumptions!$C$36</f>
        <v>1013.09992</v>
      </c>
      <c r="L104" s="80">
        <f>L87*Assumptions!$C$34+L88*Assumptions!$C$35+L89*Assumptions!$C$36</f>
        <v>993.1084800000001</v>
      </c>
      <c r="M104" s="80">
        <f>M87*Assumptions!$C$34+M88*Assumptions!$C$35+M89*Assumptions!$C$36</f>
        <v>1029.0394799999999</v>
      </c>
      <c r="N104" s="80">
        <f>N87*Assumptions!$C$34+N88*Assumptions!$C$35+N89*Assumptions!$C$36</f>
        <v>1683.6013600000001</v>
      </c>
      <c r="O104" s="80">
        <f>O87*Assumptions!$C$34+O88*Assumptions!$C$35+O89*Assumptions!$C$36</f>
        <v>1096.8496</v>
      </c>
      <c r="P104" s="80">
        <f>P87*Assumptions!$C$34+P88*Assumptions!$C$35+P89*Assumptions!$C$36</f>
        <v>1628.40264</v>
      </c>
      <c r="Q104" s="80">
        <f t="shared" si="8"/>
        <v>14922.91568</v>
      </c>
    </row>
    <row r="105" spans="2:17" ht="13.5" customHeight="1" x14ac:dyDescent="0.35">
      <c r="B105" s="75" t="s">
        <v>532</v>
      </c>
      <c r="C105" s="59" t="s">
        <v>272</v>
      </c>
      <c r="D105" s="80">
        <f>D89*Assumptions!$C$41+D87*(Assumptions!$C$37+Assumptions!$C$38)</f>
        <v>688.86019999999985</v>
      </c>
      <c r="E105" s="80">
        <f>E89*Assumptions!$C$41+E87*(Assumptions!$C$37+Assumptions!$C$38)</f>
        <v>4973.5252799999998</v>
      </c>
      <c r="F105" s="80">
        <f>F89*Assumptions!$C$41+F87*(Assumptions!$C$37+Assumptions!$C$38)</f>
        <v>667.10671999999988</v>
      </c>
      <c r="G105" s="80">
        <f>G89*Assumptions!$C$41+G87*(Assumptions!$C$37+Assumptions!$C$38)</f>
        <v>652.60439999999994</v>
      </c>
      <c r="H105" s="80">
        <f>H89*Assumptions!$C$41+H87*(Assumptions!$C$37+Assumptions!$C$38)</f>
        <v>674.35787999999991</v>
      </c>
      <c r="I105" s="80">
        <f>I89*Assumptions!$C$41+I87*(Assumptions!$C$37+Assumptions!$C$38)</f>
        <v>703.3625199999999</v>
      </c>
      <c r="J105" s="80">
        <f>J89*Assumptions!$C$41+J87*(Assumptions!$C$37+Assumptions!$C$38)</f>
        <v>4077.4359999999997</v>
      </c>
      <c r="K105" s="80">
        <f>K89*Assumptions!$C$41+K87*(Assumptions!$C$37+Assumptions!$C$38)</f>
        <v>739.61831999999993</v>
      </c>
      <c r="L105" s="80">
        <f>L89*Assumptions!$C$41+L87*(Assumptions!$C$37+Assumptions!$C$38)</f>
        <v>710.61368000000004</v>
      </c>
      <c r="M105" s="80">
        <f>M89*Assumptions!$C$41+M87*(Assumptions!$C$37+Assumptions!$C$38)</f>
        <v>746.86947999999995</v>
      </c>
      <c r="N105" s="80">
        <f>N89*Assumptions!$C$41+N87*(Assumptions!$C$37+Assumptions!$C$38)</f>
        <v>6635.1829599999992</v>
      </c>
      <c r="O105" s="80">
        <f>O89*Assumptions!$C$41+O87*(Assumptions!$C$37+Assumptions!$C$38)</f>
        <v>797.62759999999992</v>
      </c>
      <c r="P105" s="80">
        <f>P89*Assumptions!$C$41+P87*(Assumptions!$C$37+Assumptions!$C$38)</f>
        <v>5436.0722400000004</v>
      </c>
      <c r="Q105" s="80">
        <f t="shared" si="8"/>
        <v>27503.237279999998</v>
      </c>
    </row>
    <row r="106" spans="2:17" ht="13.5" customHeight="1" x14ac:dyDescent="0.35">
      <c r="B106" s="75" t="s">
        <v>533</v>
      </c>
      <c r="C106" s="59" t="s">
        <v>534</v>
      </c>
      <c r="D106" s="80">
        <f>(Assumptions!$C$61+Assumptions!$C$54)*'13W Cash Flow'!D$67+Assumptions!$C$60*'13W Cash Flow'!D$69+Assumptions!$C$63*'13W Cash Flow'!D$65</f>
        <v>0</v>
      </c>
      <c r="E106" s="80">
        <f>(Assumptions!$C$61+Assumptions!$C$54)*'13W Cash Flow'!E$67+Assumptions!$C$60*'13W Cash Flow'!E$69+Assumptions!$C$63*'13W Cash Flow'!E$65</f>
        <v>2000</v>
      </c>
      <c r="F106" s="80">
        <f>(Assumptions!$C$61+Assumptions!$C$54)*'13W Cash Flow'!F$67+Assumptions!$C$60*'13W Cash Flow'!F$69+Assumptions!$C$63*'13W Cash Flow'!F$65</f>
        <v>1800</v>
      </c>
      <c r="G106" s="80">
        <f>(Assumptions!$C$61+Assumptions!$C$54)*'13W Cash Flow'!G$67+Assumptions!$C$60*'13W Cash Flow'!G$69+Assumptions!$C$63*'13W Cash Flow'!G$65</f>
        <v>0</v>
      </c>
      <c r="H106" s="80">
        <f>(Assumptions!$C$61+Assumptions!$C$54)*'13W Cash Flow'!H$67+Assumptions!$C$60*'13W Cash Flow'!H$69+Assumptions!$C$63*'13W Cash Flow'!H$65</f>
        <v>1500</v>
      </c>
      <c r="I106" s="80">
        <f>(Assumptions!$C$61+Assumptions!$C$54)*'13W Cash Flow'!I$67+Assumptions!$C$60*'13W Cash Flow'!I$69+Assumptions!$C$63*'13W Cash Flow'!I$65</f>
        <v>2000</v>
      </c>
      <c r="J106" s="80">
        <f>(Assumptions!$C$61+Assumptions!$C$54)*'13W Cash Flow'!J$67+Assumptions!$C$60*'13W Cash Flow'!J$69+Assumptions!$C$63*'13W Cash Flow'!J$65</f>
        <v>1800</v>
      </c>
      <c r="K106" s="80">
        <f>(Assumptions!$C$61+Assumptions!$C$54)*'13W Cash Flow'!K$67+Assumptions!$C$60*'13W Cash Flow'!K$69+Assumptions!$C$63*'13W Cash Flow'!K$65</f>
        <v>0</v>
      </c>
      <c r="L106" s="80">
        <f>(Assumptions!$C$61+Assumptions!$C$54)*'13W Cash Flow'!L$67+Assumptions!$C$60*'13W Cash Flow'!L$69+Assumptions!$C$63*'13W Cash Flow'!L$65</f>
        <v>1500</v>
      </c>
      <c r="M106" s="80">
        <f>(Assumptions!$C$61+Assumptions!$C$54)*'13W Cash Flow'!M$67+Assumptions!$C$60*'13W Cash Flow'!M$69+Assumptions!$C$63*'13W Cash Flow'!M$65</f>
        <v>2000</v>
      </c>
      <c r="N106" s="80">
        <f>(Assumptions!$C$61+Assumptions!$C$54)*'13W Cash Flow'!N$67+Assumptions!$C$60*'13W Cash Flow'!N$69+Assumptions!$C$63*'13W Cash Flow'!N$65</f>
        <v>0</v>
      </c>
      <c r="O106" s="80">
        <f>(Assumptions!$C$61+Assumptions!$C$54)*'13W Cash Flow'!O$67+Assumptions!$C$60*'13W Cash Flow'!O$69+Assumptions!$C$63*'13W Cash Flow'!O$65</f>
        <v>1800</v>
      </c>
      <c r="P106" s="80">
        <f>(Assumptions!$C$61+Assumptions!$C$54)*'13W Cash Flow'!P$67+Assumptions!$C$60*'13W Cash Flow'!P$69+Assumptions!$C$63*'13W Cash Flow'!P$65</f>
        <v>1500</v>
      </c>
      <c r="Q106" s="80">
        <f t="shared" si="8"/>
        <v>15900</v>
      </c>
    </row>
    <row r="107" spans="2:17" ht="13.5" customHeight="1" x14ac:dyDescent="0.35">
      <c r="B107" s="75" t="s">
        <v>535</v>
      </c>
      <c r="C107" s="59" t="s">
        <v>536</v>
      </c>
      <c r="D107" s="80">
        <f>IF(D85=Assumptions!$C$89,Assumptions!$C$88,0)+Assumptions!$C$87*'13W Cash Flow'!D$66</f>
        <v>4200</v>
      </c>
      <c r="E107" s="80">
        <f>IF(E85=Assumptions!$C$89,Assumptions!$C$88,0)+Assumptions!$C$87*'13W Cash Flow'!E$66</f>
        <v>0</v>
      </c>
      <c r="F107" s="80">
        <f>IF(F85=Assumptions!$C$89,Assumptions!$C$88,0)+Assumptions!$C$87*'13W Cash Flow'!F$66</f>
        <v>0</v>
      </c>
      <c r="G107" s="80">
        <f>IF(G85=Assumptions!$C$89,Assumptions!$C$88,0)+Assumptions!$C$87*'13W Cash Flow'!G$66</f>
        <v>0</v>
      </c>
      <c r="H107" s="80">
        <f>IF(H85=Assumptions!$C$89,Assumptions!$C$88,0)+Assumptions!$C$87*'13W Cash Flow'!H$66</f>
        <v>4200</v>
      </c>
      <c r="I107" s="80">
        <f>IF(I85=Assumptions!$C$89,Assumptions!$C$88,0)+Assumptions!$C$87*'13W Cash Flow'!I$66</f>
        <v>0</v>
      </c>
      <c r="J107" s="80">
        <f>IF(J85=Assumptions!$C$89,Assumptions!$C$88,0)+Assumptions!$C$87*'13W Cash Flow'!J$66</f>
        <v>0</v>
      </c>
      <c r="K107" s="80">
        <f>IF(K85=Assumptions!$C$89,Assumptions!$C$88,0)+Assumptions!$C$87*'13W Cash Flow'!K$66</f>
        <v>0</v>
      </c>
      <c r="L107" s="80">
        <f>IF(L85=Assumptions!$C$89,Assumptions!$C$88,0)+Assumptions!$C$87*'13W Cash Flow'!L$66</f>
        <v>26500</v>
      </c>
      <c r="M107" s="80">
        <f>IF(M85=Assumptions!$C$89,Assumptions!$C$88,0)+Assumptions!$C$87*'13W Cash Flow'!M$66</f>
        <v>4200</v>
      </c>
      <c r="N107" s="80">
        <f>IF(N85=Assumptions!$C$89,Assumptions!$C$88,0)+Assumptions!$C$87*'13W Cash Flow'!N$66</f>
        <v>0</v>
      </c>
      <c r="O107" s="80">
        <f>IF(O85=Assumptions!$C$89,Assumptions!$C$88,0)+Assumptions!$C$87*'13W Cash Flow'!O$66</f>
        <v>0</v>
      </c>
      <c r="P107" s="80">
        <f>IF(P85=Assumptions!$C$89,Assumptions!$C$88,0)+Assumptions!$C$87*'13W Cash Flow'!P$66</f>
        <v>0</v>
      </c>
      <c r="Q107" s="80">
        <f t="shared" si="8"/>
        <v>39100</v>
      </c>
    </row>
    <row r="108" spans="2:17" ht="13.5" customHeight="1" x14ac:dyDescent="0.35">
      <c r="B108" s="75" t="s">
        <v>464</v>
      </c>
      <c r="C108" s="59" t="s">
        <v>537</v>
      </c>
      <c r="D108" s="80">
        <f t="shared" ref="D108:P108" si="11">IF(D85=$D$17,$D$15*$D$16,0)+IF(D85=$D$18,$D$15*(1-$D$16),0)</f>
        <v>0</v>
      </c>
      <c r="E108" s="80">
        <f t="shared" si="11"/>
        <v>0</v>
      </c>
      <c r="F108" s="80">
        <f t="shared" si="11"/>
        <v>0</v>
      </c>
      <c r="G108" s="80">
        <f t="shared" si="11"/>
        <v>0</v>
      </c>
      <c r="H108" s="80">
        <f t="shared" si="11"/>
        <v>0</v>
      </c>
      <c r="I108" s="80">
        <f t="shared" si="11"/>
        <v>0</v>
      </c>
      <c r="J108" s="80">
        <f t="shared" si="11"/>
        <v>0</v>
      </c>
      <c r="K108" s="80">
        <f t="shared" si="11"/>
        <v>0</v>
      </c>
      <c r="L108" s="80">
        <f t="shared" si="11"/>
        <v>0</v>
      </c>
      <c r="M108" s="80">
        <f t="shared" si="11"/>
        <v>0</v>
      </c>
      <c r="N108" s="80">
        <f t="shared" si="11"/>
        <v>0</v>
      </c>
      <c r="O108" s="80">
        <f t="shared" si="11"/>
        <v>0</v>
      </c>
      <c r="P108" s="80">
        <f t="shared" si="11"/>
        <v>0</v>
      </c>
      <c r="Q108" s="80">
        <f t="shared" si="8"/>
        <v>0</v>
      </c>
    </row>
    <row r="109" spans="2:17" ht="13.5" customHeight="1" x14ac:dyDescent="0.35">
      <c r="B109" s="78" t="s">
        <v>290</v>
      </c>
      <c r="C109" s="21"/>
      <c r="D109" s="136">
        <f t="shared" ref="D109:P109" si="12">SUM(D99:D108)</f>
        <v>20192.402040000001</v>
      </c>
      <c r="E109" s="136">
        <f t="shared" si="12"/>
        <v>90574.266575999995</v>
      </c>
      <c r="F109" s="136">
        <f t="shared" si="12"/>
        <v>17511.813923999998</v>
      </c>
      <c r="G109" s="136">
        <f t="shared" si="12"/>
        <v>15488.395479999999</v>
      </c>
      <c r="H109" s="136">
        <f t="shared" si="12"/>
        <v>135376.83139599999</v>
      </c>
      <c r="I109" s="136">
        <f t="shared" si="12"/>
        <v>23582.747383999998</v>
      </c>
      <c r="J109" s="136">
        <f t="shared" si="12"/>
        <v>29017.281800000004</v>
      </c>
      <c r="K109" s="136">
        <f t="shared" si="12"/>
        <v>99335.522643999982</v>
      </c>
      <c r="L109" s="136">
        <f t="shared" si="12"/>
        <v>112578.37535599999</v>
      </c>
      <c r="M109" s="136">
        <f t="shared" si="12"/>
        <v>28760.850515999999</v>
      </c>
      <c r="N109" s="136">
        <f t="shared" si="12"/>
        <v>87090.304032000015</v>
      </c>
      <c r="O109" s="136">
        <f t="shared" si="12"/>
        <v>20535.812919999997</v>
      </c>
      <c r="P109" s="136">
        <f t="shared" si="12"/>
        <v>98994.661007999981</v>
      </c>
      <c r="Q109" s="136">
        <f t="shared" si="8"/>
        <v>779039.26507599989</v>
      </c>
    </row>
    <row r="110" spans="2:17" ht="13.5" customHeight="1" x14ac:dyDescent="0.35">
      <c r="B110" s="78" t="s">
        <v>504</v>
      </c>
      <c r="C110" s="21"/>
      <c r="D110" s="137">
        <f t="shared" ref="D110:P110" si="13">D98-D109</f>
        <v>24516.485959999998</v>
      </c>
      <c r="E110" s="137">
        <f t="shared" si="13"/>
        <v>-19009.879375999997</v>
      </c>
      <c r="F110" s="137">
        <f t="shared" si="13"/>
        <v>26771.535676000003</v>
      </c>
      <c r="G110" s="137">
        <f t="shared" si="13"/>
        <v>27725.275719999998</v>
      </c>
      <c r="H110" s="137">
        <f t="shared" si="13"/>
        <v>-91186.128196000005</v>
      </c>
      <c r="I110" s="137">
        <f t="shared" si="13"/>
        <v>22254.910216</v>
      </c>
      <c r="J110" s="137">
        <f t="shared" si="13"/>
        <v>36220.8914</v>
      </c>
      <c r="K110" s="137">
        <f t="shared" si="13"/>
        <v>-51948.193843999979</v>
      </c>
      <c r="L110" s="137">
        <f t="shared" si="13"/>
        <v>-65816.462955999988</v>
      </c>
      <c r="M110" s="137">
        <f t="shared" si="13"/>
        <v>19500.061483999998</v>
      </c>
      <c r="N110" s="137">
        <f t="shared" si="13"/>
        <v>-4694.4408320000221</v>
      </c>
      <c r="O110" s="137">
        <f t="shared" si="13"/>
        <v>30750.15468</v>
      </c>
      <c r="P110" s="137">
        <f t="shared" si="13"/>
        <v>-20433.99340799998</v>
      </c>
      <c r="Q110" s="137">
        <f t="shared" si="8"/>
        <v>-65349.78347599999</v>
      </c>
    </row>
    <row r="111" spans="2:17" ht="13.5" customHeight="1" x14ac:dyDescent="0.35">
      <c r="B111" s="75" t="s">
        <v>505</v>
      </c>
      <c r="C111" s="59" t="s">
        <v>249</v>
      </c>
      <c r="D111" s="80">
        <f>Assumptions!$C$13</f>
        <v>205000</v>
      </c>
      <c r="E111" s="80">
        <f t="shared" ref="E111:P111" si="14">D112</f>
        <v>229516.48595999999</v>
      </c>
      <c r="F111" s="80">
        <f t="shared" si="14"/>
        <v>210506.60658399999</v>
      </c>
      <c r="G111" s="80">
        <f t="shared" si="14"/>
        <v>237278.14225999999</v>
      </c>
      <c r="H111" s="80">
        <f t="shared" si="14"/>
        <v>265003.41797999997</v>
      </c>
      <c r="I111" s="80">
        <f t="shared" si="14"/>
        <v>173817.28978399996</v>
      </c>
      <c r="J111" s="80">
        <f t="shared" si="14"/>
        <v>196072.19999999995</v>
      </c>
      <c r="K111" s="80">
        <f t="shared" si="14"/>
        <v>232293.09139999995</v>
      </c>
      <c r="L111" s="80">
        <f t="shared" si="14"/>
        <v>180344.89755599998</v>
      </c>
      <c r="M111" s="80">
        <f t="shared" si="14"/>
        <v>114528.43459999999</v>
      </c>
      <c r="N111" s="80">
        <f t="shared" si="14"/>
        <v>134028.49608399998</v>
      </c>
      <c r="O111" s="80">
        <f t="shared" si="14"/>
        <v>129334.05525199996</v>
      </c>
      <c r="P111" s="80">
        <f t="shared" si="14"/>
        <v>160084.20993199997</v>
      </c>
      <c r="Q111" s="3"/>
    </row>
    <row r="112" spans="2:17" ht="13.5" customHeight="1" x14ac:dyDescent="0.35">
      <c r="B112" s="78" t="s">
        <v>293</v>
      </c>
      <c r="C112" s="21"/>
      <c r="D112" s="138">
        <f t="shared" ref="D112:P112" si="15">D111+D110</f>
        <v>229516.48595999999</v>
      </c>
      <c r="E112" s="138">
        <f t="shared" si="15"/>
        <v>210506.60658399999</v>
      </c>
      <c r="F112" s="138">
        <f t="shared" si="15"/>
        <v>237278.14225999999</v>
      </c>
      <c r="G112" s="138">
        <f t="shared" si="15"/>
        <v>265003.41797999997</v>
      </c>
      <c r="H112" s="138">
        <f t="shared" si="15"/>
        <v>173817.28978399996</v>
      </c>
      <c r="I112" s="138">
        <f t="shared" si="15"/>
        <v>196072.19999999995</v>
      </c>
      <c r="J112" s="138">
        <f t="shared" si="15"/>
        <v>232293.09139999995</v>
      </c>
      <c r="K112" s="138">
        <f t="shared" si="15"/>
        <v>180344.89755599998</v>
      </c>
      <c r="L112" s="138">
        <f t="shared" si="15"/>
        <v>114528.43459999999</v>
      </c>
      <c r="M112" s="138">
        <f t="shared" si="15"/>
        <v>134028.49608399998</v>
      </c>
      <c r="N112" s="138">
        <f t="shared" si="15"/>
        <v>129334.05525199996</v>
      </c>
      <c r="O112" s="138">
        <f t="shared" si="15"/>
        <v>160084.20993199997</v>
      </c>
      <c r="P112" s="138">
        <f t="shared" si="15"/>
        <v>139650.21652399999</v>
      </c>
      <c r="Q112" s="3"/>
    </row>
    <row r="113" spans="2:17" ht="13.5" customHeight="1" x14ac:dyDescent="0.35">
      <c r="B113" s="75" t="s">
        <v>538</v>
      </c>
      <c r="C113" s="21"/>
      <c r="D113" s="80">
        <f>D112-Assumptions!$C$14</f>
        <v>109516.48595999999</v>
      </c>
      <c r="E113" s="80">
        <f>E112-Assumptions!$C$14</f>
        <v>90506.606583999994</v>
      </c>
      <c r="F113" s="80">
        <f>F112-Assumptions!$C$14</f>
        <v>117278.14225999999</v>
      </c>
      <c r="G113" s="80">
        <f>G112-Assumptions!$C$14</f>
        <v>145003.41797999997</v>
      </c>
      <c r="H113" s="80">
        <f>H112-Assumptions!$C$14</f>
        <v>53817.289783999964</v>
      </c>
      <c r="I113" s="80">
        <f>I112-Assumptions!$C$14</f>
        <v>76072.199999999953</v>
      </c>
      <c r="J113" s="80">
        <f>J112-Assumptions!$C$14</f>
        <v>112293.09139999995</v>
      </c>
      <c r="K113" s="80">
        <f>K112-Assumptions!$C$14</f>
        <v>60344.897555999982</v>
      </c>
      <c r="L113" s="80">
        <f>L112-Assumptions!$C$14</f>
        <v>-5471.5654000000068</v>
      </c>
      <c r="M113" s="80">
        <f>M112-Assumptions!$C$14</f>
        <v>14028.496083999984</v>
      </c>
      <c r="N113" s="80">
        <f>N112-Assumptions!$C$14</f>
        <v>9334.0552519999619</v>
      </c>
      <c r="O113" s="80">
        <f>O112-Assumptions!$C$14</f>
        <v>40084.209931999969</v>
      </c>
      <c r="P113" s="80">
        <f>P112-Assumptions!$C$14</f>
        <v>19650.216523999989</v>
      </c>
      <c r="Q113" s="3"/>
    </row>
    <row r="114" spans="2:17" ht="15" customHeight="1" x14ac:dyDescent="0.35">
      <c r="B114" s="3"/>
      <c r="C114" s="3"/>
      <c r="D114" s="3"/>
      <c r="E114" s="3"/>
      <c r="F114" s="3"/>
      <c r="G114" s="3"/>
      <c r="H114" s="3"/>
      <c r="I114" s="3"/>
      <c r="J114" s="3"/>
      <c r="K114" s="3"/>
      <c r="L114" s="3"/>
      <c r="M114" s="3"/>
      <c r="N114" s="3"/>
      <c r="O114" s="3"/>
      <c r="P114" s="3"/>
      <c r="Q114" s="3"/>
    </row>
    <row r="115" spans="2:17" ht="15" customHeight="1" x14ac:dyDescent="0.35">
      <c r="B115" s="3"/>
      <c r="C115" s="3"/>
      <c r="D115" s="3"/>
      <c r="E115" s="3"/>
      <c r="F115" s="3"/>
      <c r="G115" s="3"/>
      <c r="H115" s="3"/>
      <c r="I115" s="3"/>
      <c r="J115" s="3"/>
      <c r="K115" s="3"/>
      <c r="L115" s="3"/>
      <c r="M115" s="3"/>
      <c r="N115" s="3"/>
      <c r="O115" s="3"/>
      <c r="P115" s="3"/>
      <c r="Q115" s="3"/>
    </row>
    <row r="116" spans="2:17" ht="18" customHeight="1" x14ac:dyDescent="0.35">
      <c r="B116" s="12" t="s">
        <v>539</v>
      </c>
      <c r="C116" s="12"/>
      <c r="D116" s="12"/>
      <c r="E116" s="12"/>
      <c r="F116" s="12"/>
      <c r="G116" s="12"/>
      <c r="H116" s="12"/>
      <c r="I116" s="12"/>
      <c r="J116" s="12"/>
      <c r="K116" s="12"/>
      <c r="L116" s="12"/>
      <c r="M116" s="12"/>
      <c r="N116" s="12"/>
      <c r="O116" s="12"/>
      <c r="P116" s="12"/>
      <c r="Q116" s="12"/>
    </row>
    <row r="117" spans="2:17" ht="21.75" customHeight="1" x14ac:dyDescent="0.35">
      <c r="B117" s="132" t="s">
        <v>76</v>
      </c>
      <c r="C117" s="132" t="s">
        <v>194</v>
      </c>
      <c r="D117" s="133" t="s">
        <v>196</v>
      </c>
      <c r="E117" s="133" t="s">
        <v>197</v>
      </c>
      <c r="F117" s="133" t="s">
        <v>198</v>
      </c>
      <c r="G117" s="133" t="s">
        <v>199</v>
      </c>
      <c r="H117" s="133" t="s">
        <v>200</v>
      </c>
      <c r="I117" s="133" t="s">
        <v>201</v>
      </c>
      <c r="J117" s="133" t="s">
        <v>202</v>
      </c>
      <c r="K117" s="133" t="s">
        <v>203</v>
      </c>
      <c r="L117" s="133" t="s">
        <v>204</v>
      </c>
      <c r="M117" s="133" t="s">
        <v>205</v>
      </c>
      <c r="N117" s="133" t="s">
        <v>206</v>
      </c>
      <c r="O117" s="133" t="s">
        <v>207</v>
      </c>
      <c r="P117" s="133" t="s">
        <v>208</v>
      </c>
      <c r="Q117" s="134" t="s">
        <v>243</v>
      </c>
    </row>
    <row r="118" spans="2:17" ht="13.5" customHeight="1" x14ac:dyDescent="0.35">
      <c r="B118" s="75" t="s">
        <v>245</v>
      </c>
      <c r="C118" s="21"/>
      <c r="D118" s="135">
        <f>'13W Cash Flow'!D$6</f>
        <v>1</v>
      </c>
      <c r="E118" s="135">
        <f>'13W Cash Flow'!E$6</f>
        <v>2</v>
      </c>
      <c r="F118" s="135">
        <f>'13W Cash Flow'!F$6</f>
        <v>3</v>
      </c>
      <c r="G118" s="135">
        <f>'13W Cash Flow'!G$6</f>
        <v>4</v>
      </c>
      <c r="H118" s="135">
        <f>'13W Cash Flow'!H$6</f>
        <v>5</v>
      </c>
      <c r="I118" s="135">
        <f>'13W Cash Flow'!I$6</f>
        <v>6</v>
      </c>
      <c r="J118" s="135">
        <f>'13W Cash Flow'!J$6</f>
        <v>7</v>
      </c>
      <c r="K118" s="135">
        <f>'13W Cash Flow'!K$6</f>
        <v>8</v>
      </c>
      <c r="L118" s="135">
        <f>'13W Cash Flow'!L$6</f>
        <v>9</v>
      </c>
      <c r="M118" s="135">
        <f>'13W Cash Flow'!M$6</f>
        <v>10</v>
      </c>
      <c r="N118" s="135">
        <f>'13W Cash Flow'!N$6</f>
        <v>11</v>
      </c>
      <c r="O118" s="135">
        <f>'13W Cash Flow'!O$6</f>
        <v>12</v>
      </c>
      <c r="P118" s="135">
        <f>'13W Cash Flow'!P$6</f>
        <v>13</v>
      </c>
      <c r="Q118" s="3"/>
    </row>
    <row r="119" spans="2:17" ht="13.5" customHeight="1" x14ac:dyDescent="0.35">
      <c r="B119" s="75" t="s">
        <v>519</v>
      </c>
      <c r="C119" s="59" t="s">
        <v>520</v>
      </c>
      <c r="D119" s="135">
        <f t="shared" ref="D119:P119" si="16">IF(OR($E$14=0,D$118&lt;=$E$14),1,0)</f>
        <v>1</v>
      </c>
      <c r="E119" s="135">
        <f t="shared" si="16"/>
        <v>1</v>
      </c>
      <c r="F119" s="135">
        <f t="shared" si="16"/>
        <v>1</v>
      </c>
      <c r="G119" s="135">
        <f t="shared" si="16"/>
        <v>1</v>
      </c>
      <c r="H119" s="135">
        <f t="shared" si="16"/>
        <v>1</v>
      </c>
      <c r="I119" s="135">
        <f t="shared" si="16"/>
        <v>1</v>
      </c>
      <c r="J119" s="135">
        <f t="shared" si="16"/>
        <v>1</v>
      </c>
      <c r="K119" s="135">
        <f t="shared" si="16"/>
        <v>1</v>
      </c>
      <c r="L119" s="135">
        <f t="shared" si="16"/>
        <v>1</v>
      </c>
      <c r="M119" s="135">
        <f t="shared" si="16"/>
        <v>1</v>
      </c>
      <c r="N119" s="135">
        <f t="shared" si="16"/>
        <v>1</v>
      </c>
      <c r="O119" s="135">
        <f t="shared" si="16"/>
        <v>1</v>
      </c>
      <c r="P119" s="135">
        <f t="shared" si="16"/>
        <v>1</v>
      </c>
      <c r="Q119" s="3"/>
    </row>
    <row r="120" spans="2:17" ht="13.5" customHeight="1" x14ac:dyDescent="0.35">
      <c r="B120" s="75" t="s">
        <v>386</v>
      </c>
      <c r="C120" s="59" t="s">
        <v>521</v>
      </c>
      <c r="D120" s="80">
        <f>'13W Cash Flow'!D$73*(1+$E$7)*D119</f>
        <v>19215.573999999997</v>
      </c>
      <c r="E120" s="80">
        <f>'13W Cash Flow'!E$73*(1+$E$7)*E119</f>
        <v>21845.0736</v>
      </c>
      <c r="F120" s="80">
        <f>'13W Cash Flow'!F$73*(1+$E$7)*F119</f>
        <v>18608.7664</v>
      </c>
      <c r="G120" s="80">
        <f>'13W Cash Flow'!G$73*(1+$E$7)*G119</f>
        <v>18204.227999999999</v>
      </c>
      <c r="H120" s="80">
        <f>'13W Cash Flow'!H$73*(1+$E$7)*H119</f>
        <v>18811.035599999999</v>
      </c>
      <c r="I120" s="80">
        <f>'13W Cash Flow'!I$73*(1+$E$7)*I119</f>
        <v>19620.112399999998</v>
      </c>
      <c r="J120" s="80">
        <f>'13W Cash Flow'!J$73*(1+$E$7)*J119</f>
        <v>20226.920000000002</v>
      </c>
      <c r="K120" s="80">
        <f>'13W Cash Flow'!K$73*(1+$E$7)*K119</f>
        <v>20631.4584</v>
      </c>
      <c r="L120" s="80">
        <f>'13W Cash Flow'!L$73*(1+$E$7)*L119</f>
        <v>19822.381600000001</v>
      </c>
      <c r="M120" s="80">
        <f>'13W Cash Flow'!M$73*(1+$E$7)*M119</f>
        <v>20833.727599999998</v>
      </c>
      <c r="N120" s="80">
        <f>'13W Cash Flow'!N$73*(1+$E$7)*N119</f>
        <v>21440.535199999998</v>
      </c>
      <c r="O120" s="80">
        <f>'13W Cash Flow'!O$73*(1+$E$7)*O119</f>
        <v>22249.611999999997</v>
      </c>
      <c r="P120" s="80">
        <f>'13W Cash Flow'!P$73*(1+$E$7)*P119</f>
        <v>23058.688799999996</v>
      </c>
      <c r="Q120" s="80">
        <f t="shared" ref="Q120:Q143" si="17">SUM(D120:P120)</f>
        <v>264568.11359999992</v>
      </c>
    </row>
    <row r="121" spans="2:17" ht="13.5" customHeight="1" x14ac:dyDescent="0.35">
      <c r="B121" s="75" t="s">
        <v>478</v>
      </c>
      <c r="C121" s="59" t="s">
        <v>522</v>
      </c>
      <c r="D121" s="80">
        <f>'13W Cash Flow'!D$74*(1+$E$11)+'13W Cash Flow'!D$73*(1-D119)*$E$12</f>
        <v>21331.464</v>
      </c>
      <c r="E121" s="80">
        <f>'13W Cash Flow'!E$74*(1+$E$11)+'13W Cash Flow'!E$73*(1-E119)*$E$12</f>
        <v>23090.760000000002</v>
      </c>
      <c r="F121" s="80">
        <f>'13W Cash Flow'!F$74*(1+$E$11)+'13W Cash Flow'!F$73*(1-F119)*$E$12</f>
        <v>21111.552</v>
      </c>
      <c r="G121" s="80">
        <f>'13W Cash Flow'!G$74*(1+$E$11)+'13W Cash Flow'!G$73*(1-G119)*$E$12</f>
        <v>20891.64</v>
      </c>
      <c r="H121" s="80">
        <f>'13W Cash Flow'!H$74*(1+$E$11)+'13W Cash Flow'!H$73*(1-H119)*$E$12</f>
        <v>21771.288</v>
      </c>
      <c r="I121" s="80">
        <f>'13W Cash Flow'!I$74*(1+$E$11)+'13W Cash Flow'!I$73*(1-I119)*$E$12</f>
        <v>22431.024000000001</v>
      </c>
      <c r="J121" s="80">
        <f>'13W Cash Flow'!J$74*(1+$E$11)+'13W Cash Flow'!J$73*(1-J119)*$E$12</f>
        <v>22870.848000000002</v>
      </c>
      <c r="K121" s="80">
        <f>'13W Cash Flow'!K$74*(1+$E$11)+'13W Cash Flow'!K$73*(1-K119)*$E$12</f>
        <v>23310.671999999999</v>
      </c>
      <c r="L121" s="80">
        <f>'13W Cash Flow'!L$74*(1+$E$11)+'13W Cash Flow'!L$73*(1-L119)*$E$12</f>
        <v>23090.760000000002</v>
      </c>
      <c r="M121" s="80">
        <f>'13W Cash Flow'!M$74*(1+$E$11)+'13W Cash Flow'!M$73*(1-M119)*$E$12</f>
        <v>23750.495999999999</v>
      </c>
      <c r="N121" s="80">
        <f>'13W Cash Flow'!N$74*(1+$E$11)+'13W Cash Flow'!N$73*(1-N119)*$E$12</f>
        <v>24630.144000000004</v>
      </c>
      <c r="O121" s="80">
        <f>'13W Cash Flow'!O$74*(1+$E$11)+'13W Cash Flow'!O$73*(1-O119)*$E$12</f>
        <v>25289.879999999997</v>
      </c>
      <c r="P121" s="80">
        <f>'13W Cash Flow'!P$74*(1+$E$11)+'13W Cash Flow'!P$73*(1-P119)*$E$12</f>
        <v>26389.439999999999</v>
      </c>
      <c r="Q121" s="80">
        <f t="shared" si="17"/>
        <v>299959.96799999999</v>
      </c>
    </row>
    <row r="122" spans="2:17" ht="13.5" customHeight="1" x14ac:dyDescent="0.35">
      <c r="B122" s="75" t="s">
        <v>479</v>
      </c>
      <c r="C122" s="59" t="s">
        <v>523</v>
      </c>
      <c r="D122" s="80">
        <f>'13W Cash Flow'!D$75</f>
        <v>0</v>
      </c>
      <c r="E122" s="80">
        <f>'13W Cash Flow'!E$75</f>
        <v>23280</v>
      </c>
      <c r="F122" s="80">
        <f>'13W Cash Flow'!F$75</f>
        <v>0</v>
      </c>
      <c r="G122" s="80">
        <f>'13W Cash Flow'!G$75</f>
        <v>0</v>
      </c>
      <c r="H122" s="80">
        <f>'13W Cash Flow'!H$75</f>
        <v>0</v>
      </c>
      <c r="I122" s="80">
        <f>'13W Cash Flow'!I$75</f>
        <v>0</v>
      </c>
      <c r="J122" s="80">
        <f>'13W Cash Flow'!J$75</f>
        <v>18624</v>
      </c>
      <c r="K122" s="80">
        <f>'13W Cash Flow'!K$75</f>
        <v>0</v>
      </c>
      <c r="L122" s="80">
        <f>'13W Cash Flow'!L$75</f>
        <v>0</v>
      </c>
      <c r="M122" s="80">
        <f>'13W Cash Flow'!M$75</f>
        <v>0</v>
      </c>
      <c r="N122" s="80">
        <f>'13W Cash Flow'!N$75</f>
        <v>32592</v>
      </c>
      <c r="O122" s="80">
        <f>'13W Cash Flow'!O$75</f>
        <v>0</v>
      </c>
      <c r="P122" s="80">
        <f>'13W Cash Flow'!P$75</f>
        <v>25608.000000000004</v>
      </c>
      <c r="Q122" s="80">
        <f t="shared" si="17"/>
        <v>100104</v>
      </c>
    </row>
    <row r="123" spans="2:17" ht="13.5" customHeight="1" x14ac:dyDescent="0.35">
      <c r="B123" s="75" t="s">
        <v>480</v>
      </c>
      <c r="C123" s="59" t="s">
        <v>523</v>
      </c>
      <c r="D123" s="80">
        <f>'13W Cash Flow'!D$76</f>
        <v>7536</v>
      </c>
      <c r="E123" s="80">
        <f>'13W Cash Flow'!E$76</f>
        <v>7850</v>
      </c>
      <c r="F123" s="80">
        <f>'13W Cash Flow'!F$76</f>
        <v>7457.5</v>
      </c>
      <c r="G123" s="80">
        <f>'13W Cash Flow'!G$76</f>
        <v>7379</v>
      </c>
      <c r="H123" s="80">
        <f>'13W Cash Flow'!H$76</f>
        <v>7614.5</v>
      </c>
      <c r="I123" s="80">
        <f>'13W Cash Flow'!I$76</f>
        <v>7850</v>
      </c>
      <c r="J123" s="80">
        <f>'13W Cash Flow'!J$76</f>
        <v>8007</v>
      </c>
      <c r="K123" s="80">
        <f>'13W Cash Flow'!K$76</f>
        <v>8085.5</v>
      </c>
      <c r="L123" s="80">
        <f>'13W Cash Flow'!L$76</f>
        <v>7928.5</v>
      </c>
      <c r="M123" s="80">
        <f>'13W Cash Flow'!M$76</f>
        <v>8242.5</v>
      </c>
      <c r="N123" s="80">
        <f>'13W Cash Flow'!N$76</f>
        <v>8478</v>
      </c>
      <c r="O123" s="80">
        <f>'13W Cash Flow'!O$76</f>
        <v>8635</v>
      </c>
      <c r="P123" s="80">
        <f>'13W Cash Flow'!P$76</f>
        <v>8792</v>
      </c>
      <c r="Q123" s="80">
        <f t="shared" si="17"/>
        <v>103855.5</v>
      </c>
    </row>
    <row r="124" spans="2:17" ht="13.5" customHeight="1" x14ac:dyDescent="0.35">
      <c r="B124" s="78" t="s">
        <v>326</v>
      </c>
      <c r="C124" s="21"/>
      <c r="D124" s="136">
        <f t="shared" ref="D124:P124" si="18">SUM(D120:D123)</f>
        <v>48083.038</v>
      </c>
      <c r="E124" s="136">
        <f t="shared" si="18"/>
        <v>76065.833599999998</v>
      </c>
      <c r="F124" s="136">
        <f t="shared" si="18"/>
        <v>47177.818400000004</v>
      </c>
      <c r="G124" s="136">
        <f t="shared" si="18"/>
        <v>46474.868000000002</v>
      </c>
      <c r="H124" s="136">
        <f t="shared" si="18"/>
        <v>48196.823600000003</v>
      </c>
      <c r="I124" s="136">
        <f t="shared" si="18"/>
        <v>49901.136400000003</v>
      </c>
      <c r="J124" s="136">
        <f t="shared" si="18"/>
        <v>69728.768000000011</v>
      </c>
      <c r="K124" s="136">
        <f t="shared" si="18"/>
        <v>52027.630399999995</v>
      </c>
      <c r="L124" s="136">
        <f t="shared" si="18"/>
        <v>50841.641600000003</v>
      </c>
      <c r="M124" s="136">
        <f t="shared" si="18"/>
        <v>52826.723599999998</v>
      </c>
      <c r="N124" s="136">
        <f t="shared" si="18"/>
        <v>87140.679199999999</v>
      </c>
      <c r="O124" s="136">
        <f t="shared" si="18"/>
        <v>56174.491999999998</v>
      </c>
      <c r="P124" s="136">
        <f t="shared" si="18"/>
        <v>83848.128799999991</v>
      </c>
      <c r="Q124" s="136">
        <f t="shared" si="17"/>
        <v>768487.58160000003</v>
      </c>
    </row>
    <row r="125" spans="2:17" ht="13.5" customHeight="1" x14ac:dyDescent="0.35">
      <c r="B125" s="75" t="s">
        <v>328</v>
      </c>
      <c r="C125" s="21"/>
      <c r="D125" s="80">
        <f>D120*(1-Assumptions!$C$28-$E$8)+D121*(1-Assumptions!$C$29)+D122*(1-Assumptions!$C$30)+D123*(1-Assumptions!$C$31)</f>
        <v>19329.29307</v>
      </c>
      <c r="E125" s="80">
        <f>E120*(1-Assumptions!$C$28-$E$8)+E121*(1-Assumptions!$C$29)+E122*(1-Assumptions!$C$30)+E123*(1-Assumptions!$C$31)</f>
        <v>29604.358808000001</v>
      </c>
      <c r="F125" s="80">
        <f>F120*(1-Assumptions!$C$28-$E$8)+F121*(1-Assumptions!$C$29)+F122*(1-Assumptions!$C$30)+F123*(1-Assumptions!$C$31)</f>
        <v>18964.171192000002</v>
      </c>
      <c r="G125" s="80">
        <f>G120*(1-Assumptions!$C$28-$E$8)+G121*(1-Assumptions!$C$29)+G122*(1-Assumptions!$C$30)+G123*(1-Assumptions!$C$31)</f>
        <v>18680.968339999999</v>
      </c>
      <c r="H125" s="80">
        <f>H120*(1-Assumptions!$C$28-$E$8)+H121*(1-Assumptions!$C$29)+H122*(1-Assumptions!$C$30)+H123*(1-Assumptions!$C$31)</f>
        <v>19372.784618000002</v>
      </c>
      <c r="I125" s="80">
        <f>I120*(1-Assumptions!$C$28-$E$8)+I121*(1-Assumptions!$C$29)+I122*(1-Assumptions!$C$30)+I123*(1-Assumptions!$C$31)</f>
        <v>20058.555122000002</v>
      </c>
      <c r="J125" s="80">
        <f>J120*(1-Assumptions!$C$28-$E$8)+J121*(1-Assumptions!$C$29)+J122*(1-Assumptions!$C$30)+J123*(1-Assumptions!$C$31)</f>
        <v>27247.681800000002</v>
      </c>
      <c r="K125" s="80">
        <f>K120*(1-Assumptions!$C$28-$E$8)+K121*(1-Assumptions!$C$29)+K122*(1-Assumptions!$C$30)+K123*(1-Assumptions!$C$31)</f>
        <v>20914.209451999999</v>
      </c>
      <c r="L125" s="80">
        <f>L120*(1-Assumptions!$C$28-$E$8)+L121*(1-Assumptions!$C$29)+L122*(1-Assumptions!$C$30)+L123*(1-Assumptions!$C$31)</f>
        <v>20435.768548000004</v>
      </c>
      <c r="M125" s="80">
        <f>M120*(1-Assumptions!$C$28-$E$8)+M121*(1-Assumptions!$C$29)+M122*(1-Assumptions!$C$30)+M123*(1-Assumptions!$C$31)</f>
        <v>21234.858077999997</v>
      </c>
      <c r="N125" s="80">
        <f>N120*(1-Assumptions!$C$28-$E$8)+N121*(1-Assumptions!$C$29)+N122*(1-Assumptions!$C$30)+N123*(1-Assumptions!$C$31)</f>
        <v>33659.794355999999</v>
      </c>
      <c r="O125" s="80">
        <f>O120*(1-Assumptions!$C$28-$E$8)+O121*(1-Assumptions!$C$29)+O122*(1-Assumptions!$C$30)+O123*(1-Assumptions!$C$31)</f>
        <v>22581.044859999998</v>
      </c>
      <c r="P125" s="80">
        <f>P120*(1-Assumptions!$C$28-$E$8)+P121*(1-Assumptions!$C$29)+P122*(1-Assumptions!$C$30)+P123*(1-Assumptions!$C$31)</f>
        <v>32630.224964000001</v>
      </c>
      <c r="Q125" s="80">
        <f t="shared" si="17"/>
        <v>304713.713208</v>
      </c>
    </row>
    <row r="126" spans="2:17" ht="13.5" customHeight="1" x14ac:dyDescent="0.35">
      <c r="B126" s="75" t="s">
        <v>524</v>
      </c>
      <c r="C126" s="59" t="s">
        <v>252</v>
      </c>
      <c r="D126" s="80">
        <f>D120*Assumptions!$C$67+IF(D118=1,Assumptions!$C$72,INDEX($D$120:$P$120,1,D118-1)*(1-Assumptions!$C$67))</f>
        <v>19198.328079999999</v>
      </c>
      <c r="E126" s="80">
        <f>E120*Assumptions!$C$67+IF(E118=1,Assumptions!$C$72,INDEX($D$120:$P$120,1,E118-1)*(1-Assumptions!$C$67))</f>
        <v>21634.713631999999</v>
      </c>
      <c r="F126" s="80">
        <f>F120*Assumptions!$C$67+IF(F118=1,Assumptions!$C$72,INDEX($D$120:$P$120,1,F118-1)*(1-Assumptions!$C$67))</f>
        <v>18867.670975999998</v>
      </c>
      <c r="G126" s="80">
        <f>G120*Assumptions!$C$67+IF(G118=1,Assumptions!$C$72,INDEX($D$120:$P$120,1,G118-1)*(1-Assumptions!$C$67))</f>
        <v>18236.591071999996</v>
      </c>
      <c r="H126" s="80">
        <f>H120*Assumptions!$C$67+IF(H118=1,Assumptions!$C$72,INDEX($D$120:$P$120,1,H118-1)*(1-Assumptions!$C$67))</f>
        <v>18762.490991999999</v>
      </c>
      <c r="I126" s="80">
        <f>I120*Assumptions!$C$67+IF(I118=1,Assumptions!$C$72,INDEX($D$120:$P$120,1,I118-1)*(1-Assumptions!$C$67))</f>
        <v>19555.386255999998</v>
      </c>
      <c r="J126" s="80">
        <f>J120*Assumptions!$C$67+IF(J118=1,Assumptions!$C$72,INDEX($D$120:$P$120,1,J118-1)*(1-Assumptions!$C$67))</f>
        <v>20178.375392000002</v>
      </c>
      <c r="K126" s="80">
        <f>K120*Assumptions!$C$67+IF(K118=1,Assumptions!$C$72,INDEX($D$120:$P$120,1,K118-1)*(1-Assumptions!$C$67))</f>
        <v>20599.095327999999</v>
      </c>
      <c r="L126" s="80">
        <f>L120*Assumptions!$C$67+IF(L118=1,Assumptions!$C$72,INDEX($D$120:$P$120,1,L118-1)*(1-Assumptions!$C$67))</f>
        <v>19887.107744000001</v>
      </c>
      <c r="M126" s="80">
        <f>M120*Assumptions!$C$67+IF(M118=1,Assumptions!$C$72,INDEX($D$120:$P$120,1,M118-1)*(1-Assumptions!$C$67))</f>
        <v>20752.819919999998</v>
      </c>
      <c r="N126" s="80">
        <f>N120*Assumptions!$C$67+IF(N118=1,Assumptions!$C$72,INDEX($D$120:$P$120,1,N118-1)*(1-Assumptions!$C$67))</f>
        <v>21391.990591999998</v>
      </c>
      <c r="O126" s="80">
        <f>O120*Assumptions!$C$67+IF(O118=1,Assumptions!$C$72,INDEX($D$120:$P$120,1,O118-1)*(1-Assumptions!$C$67))</f>
        <v>22184.885855999997</v>
      </c>
      <c r="P126" s="80">
        <f>P120*Assumptions!$C$67+IF(P118=1,Assumptions!$C$72,INDEX($D$120:$P$120,1,P118-1)*(1-Assumptions!$C$67))</f>
        <v>22993.962655999996</v>
      </c>
      <c r="Q126" s="80">
        <f t="shared" si="17"/>
        <v>264243.418496</v>
      </c>
    </row>
    <row r="127" spans="2:17" ht="13.5" customHeight="1" x14ac:dyDescent="0.35">
      <c r="B127" s="75" t="s">
        <v>253</v>
      </c>
      <c r="C127" s="59" t="s">
        <v>254</v>
      </c>
      <c r="D127" s="80">
        <f>D121*Assumptions!$C$68+IF(D118=1,Assumptions!$C$73,INDEX($D$121:$P$121,1,D118-1)*(1-Assumptions!$C$68))</f>
        <v>21371.7444</v>
      </c>
      <c r="E127" s="80">
        <f>E121*Assumptions!$C$68+IF(E118=1,Assumptions!$C$73,INDEX($D$121:$P$121,1,E118-1)*(1-Assumptions!$C$68))</f>
        <v>22826.865600000001</v>
      </c>
      <c r="F127" s="80">
        <f>F121*Assumptions!$C$68+IF(F118=1,Assumptions!$C$73,INDEX($D$121:$P$121,1,F118-1)*(1-Assumptions!$C$68))</f>
        <v>21408.433199999999</v>
      </c>
      <c r="G127" s="80">
        <f>G121*Assumptions!$C$68+IF(G118=1,Assumptions!$C$73,INDEX($D$121:$P$121,1,G118-1)*(1-Assumptions!$C$68))</f>
        <v>20924.626800000002</v>
      </c>
      <c r="H127" s="80">
        <f>H121*Assumptions!$C$68+IF(H118=1,Assumptions!$C$73,INDEX($D$121:$P$121,1,H118-1)*(1-Assumptions!$C$68))</f>
        <v>21639.340799999998</v>
      </c>
      <c r="I127" s="80">
        <f>I121*Assumptions!$C$68+IF(I118=1,Assumptions!$C$73,INDEX($D$121:$P$121,1,I118-1)*(1-Assumptions!$C$68))</f>
        <v>22332.063600000001</v>
      </c>
      <c r="J127" s="80">
        <f>J121*Assumptions!$C$68+IF(J118=1,Assumptions!$C$73,INDEX($D$121:$P$121,1,J118-1)*(1-Assumptions!$C$68))</f>
        <v>22804.874400000004</v>
      </c>
      <c r="K127" s="80">
        <f>K121*Assumptions!$C$68+IF(K118=1,Assumptions!$C$73,INDEX($D$121:$P$121,1,K118-1)*(1-Assumptions!$C$68))</f>
        <v>23244.698400000001</v>
      </c>
      <c r="L127" s="80">
        <f>L121*Assumptions!$C$68+IF(L118=1,Assumptions!$C$73,INDEX($D$121:$P$121,1,L118-1)*(1-Assumptions!$C$68))</f>
        <v>23123.746800000001</v>
      </c>
      <c r="M127" s="80">
        <f>M121*Assumptions!$C$68+IF(M118=1,Assumptions!$C$73,INDEX($D$121:$P$121,1,M118-1)*(1-Assumptions!$C$68))</f>
        <v>23651.535599999999</v>
      </c>
      <c r="N127" s="80">
        <f>N121*Assumptions!$C$68+IF(N118=1,Assumptions!$C$73,INDEX($D$121:$P$121,1,N118-1)*(1-Assumptions!$C$68))</f>
        <v>24498.196800000005</v>
      </c>
      <c r="O127" s="80">
        <f>O121*Assumptions!$C$68+IF(O118=1,Assumptions!$C$73,INDEX($D$121:$P$121,1,O118-1)*(1-Assumptions!$C$68))</f>
        <v>25190.919599999997</v>
      </c>
      <c r="P127" s="80">
        <f>P121*Assumptions!$C$68+IF(P118=1,Assumptions!$C$73,INDEX($D$121:$P$121,1,P118-1)*(1-Assumptions!$C$68))</f>
        <v>26224.505999999998</v>
      </c>
      <c r="Q127" s="80">
        <f t="shared" si="17"/>
        <v>299241.55199999997</v>
      </c>
    </row>
    <row r="128" spans="2:17" ht="13.5" customHeight="1" x14ac:dyDescent="0.35">
      <c r="B128" s="75" t="s">
        <v>255</v>
      </c>
      <c r="C128" s="59" t="s">
        <v>256</v>
      </c>
      <c r="D128" s="80">
        <f>D122*Assumptions!$C$69+IF(D118=1,0,INDEX($D$122:$P$122,1,D118-1)*(1-Assumptions!$C$69))</f>
        <v>0</v>
      </c>
      <c r="E128" s="80">
        <f>E122*Assumptions!$C$69+IF(E118=1,0,INDEX($D$122:$P$122,1,E118-1)*(1-Assumptions!$C$69))</f>
        <v>23280</v>
      </c>
      <c r="F128" s="80">
        <f>F122*Assumptions!$C$69+IF(F118=1,0,INDEX($D$122:$P$122,1,F118-1)*(1-Assumptions!$C$69))</f>
        <v>0</v>
      </c>
      <c r="G128" s="80">
        <f>G122*Assumptions!$C$69+IF(G118=1,0,INDEX($D$122:$P$122,1,G118-1)*(1-Assumptions!$C$69))</f>
        <v>0</v>
      </c>
      <c r="H128" s="80">
        <f>H122*Assumptions!$C$69+IF(H118=1,0,INDEX($D$122:$P$122,1,H118-1)*(1-Assumptions!$C$69))</f>
        <v>0</v>
      </c>
      <c r="I128" s="80">
        <f>I122*Assumptions!$C$69+IF(I118=1,0,INDEX($D$122:$P$122,1,I118-1)*(1-Assumptions!$C$69))</f>
        <v>0</v>
      </c>
      <c r="J128" s="80">
        <f>J122*Assumptions!$C$69+IF(J118=1,0,INDEX($D$122:$P$122,1,J118-1)*(1-Assumptions!$C$69))</f>
        <v>18624</v>
      </c>
      <c r="K128" s="80">
        <f>K122*Assumptions!$C$69+IF(K118=1,0,INDEX($D$122:$P$122,1,K118-1)*(1-Assumptions!$C$69))</f>
        <v>0</v>
      </c>
      <c r="L128" s="80">
        <f>L122*Assumptions!$C$69+IF(L118=1,0,INDEX($D$122:$P$122,1,L118-1)*(1-Assumptions!$C$69))</f>
        <v>0</v>
      </c>
      <c r="M128" s="80">
        <f>M122*Assumptions!$C$69+IF(M118=1,0,INDEX($D$122:$P$122,1,M118-1)*(1-Assumptions!$C$69))</f>
        <v>0</v>
      </c>
      <c r="N128" s="80">
        <f>N122*Assumptions!$C$69+IF(N118=1,0,INDEX($D$122:$P$122,1,N118-1)*(1-Assumptions!$C$69))</f>
        <v>32592</v>
      </c>
      <c r="O128" s="80">
        <f>O122*Assumptions!$C$69+IF(O118=1,0,INDEX($D$122:$P$122,1,O118-1)*(1-Assumptions!$C$69))</f>
        <v>0</v>
      </c>
      <c r="P128" s="80">
        <f>P122*Assumptions!$C$69+IF(P118=1,0,INDEX($D$122:$P$122,1,P118-1)*(1-Assumptions!$C$69))</f>
        <v>25608.000000000004</v>
      </c>
      <c r="Q128" s="80">
        <f t="shared" si="17"/>
        <v>100104</v>
      </c>
    </row>
    <row r="129" spans="2:17" ht="13.5" customHeight="1" x14ac:dyDescent="0.35">
      <c r="B129" s="75" t="s">
        <v>525</v>
      </c>
      <c r="C129" s="59" t="s">
        <v>258</v>
      </c>
      <c r="D129" s="80">
        <f>IF(D118&lt;=Assumptions!$C$70,Assumptions!$C$74/Assumptions!$C$70,INDEX($D$123:$P$123,1,D118-Assumptions!$C$70)*(1-Assumptions!$C$42))</f>
        <v>5495</v>
      </c>
      <c r="E129" s="80">
        <f>IF(E118&lt;=Assumptions!$C$70,Assumptions!$C$74/Assumptions!$C$70,INDEX($D$123:$P$123,1,E118-Assumptions!$C$70)*(1-Assumptions!$C$42))</f>
        <v>5495</v>
      </c>
      <c r="F129" s="80">
        <f>IF(F118&lt;=Assumptions!$C$70,Assumptions!$C$74/Assumptions!$C$70,INDEX($D$123:$P$123,1,F118-Assumptions!$C$70)*(1-Assumptions!$C$42))</f>
        <v>5495</v>
      </c>
      <c r="G129" s="80">
        <f>IF(G118&lt;=Assumptions!$C$70,Assumptions!$C$74/Assumptions!$C$70,INDEX($D$123:$P$123,1,G118-Assumptions!$C$70)*(1-Assumptions!$C$42))</f>
        <v>5495</v>
      </c>
      <c r="H129" s="80">
        <f>IF(H118&lt;=Assumptions!$C$70,Assumptions!$C$74/Assumptions!$C$70,INDEX($D$123:$P$123,1,H118-Assumptions!$C$70)*(1-Assumptions!$C$42))</f>
        <v>5275.2</v>
      </c>
      <c r="I129" s="80">
        <f>IF(I118&lt;=Assumptions!$C$70,Assumptions!$C$74/Assumptions!$C$70,INDEX($D$123:$P$123,1,I118-Assumptions!$C$70)*(1-Assumptions!$C$42))</f>
        <v>5495</v>
      </c>
      <c r="J129" s="80">
        <f>IF(J118&lt;=Assumptions!$C$70,Assumptions!$C$74/Assumptions!$C$70,INDEX($D$123:$P$123,1,J118-Assumptions!$C$70)*(1-Assumptions!$C$42))</f>
        <v>5220.25</v>
      </c>
      <c r="K129" s="80">
        <f>IF(K118&lt;=Assumptions!$C$70,Assumptions!$C$74/Assumptions!$C$70,INDEX($D$123:$P$123,1,K118-Assumptions!$C$70)*(1-Assumptions!$C$42))</f>
        <v>5165.2999999999993</v>
      </c>
      <c r="L129" s="80">
        <f>IF(L118&lt;=Assumptions!$C$70,Assumptions!$C$74/Assumptions!$C$70,INDEX($D$123:$P$123,1,L118-Assumptions!$C$70)*(1-Assumptions!$C$42))</f>
        <v>5330.15</v>
      </c>
      <c r="M129" s="80">
        <f>IF(M118&lt;=Assumptions!$C$70,Assumptions!$C$74/Assumptions!$C$70,INDEX($D$123:$P$123,1,M118-Assumptions!$C$70)*(1-Assumptions!$C$42))</f>
        <v>5495</v>
      </c>
      <c r="N129" s="80">
        <f>IF(N118&lt;=Assumptions!$C$70,Assumptions!$C$74/Assumptions!$C$70,INDEX($D$123:$P$123,1,N118-Assumptions!$C$70)*(1-Assumptions!$C$42))</f>
        <v>5604.9</v>
      </c>
      <c r="O129" s="80">
        <f>IF(O118&lt;=Assumptions!$C$70,Assumptions!$C$74/Assumptions!$C$70,INDEX($D$123:$P$123,1,O118-Assumptions!$C$70)*(1-Assumptions!$C$42))</f>
        <v>5659.8499999999995</v>
      </c>
      <c r="P129" s="80">
        <f>IF(P118&lt;=Assumptions!$C$70,Assumptions!$C$74/Assumptions!$C$70,INDEX($D$123:$P$123,1,P118-Assumptions!$C$70)*(1-Assumptions!$C$42))</f>
        <v>5549.95</v>
      </c>
      <c r="Q129" s="80">
        <f t="shared" si="17"/>
        <v>70775.600000000006</v>
      </c>
    </row>
    <row r="130" spans="2:17" ht="13.5" customHeight="1" x14ac:dyDescent="0.35">
      <c r="B130" s="75" t="s">
        <v>526</v>
      </c>
      <c r="C130" s="59" t="s">
        <v>260</v>
      </c>
      <c r="D130" s="80">
        <f>IF(D118=$E$20,$E$19,0)+IF(D118=Assumptions!$C$125,Assumptions!$C$124,0)</f>
        <v>0</v>
      </c>
      <c r="E130" s="80">
        <f>IF(E118=$E$20,$E$19,0)+IF(E118=Assumptions!$C$125,Assumptions!$C$124,0)</f>
        <v>0</v>
      </c>
      <c r="F130" s="80">
        <f>IF(F118=$E$20,$E$19,0)+IF(F118=Assumptions!$C$125,Assumptions!$C$124,0)</f>
        <v>0</v>
      </c>
      <c r="G130" s="80">
        <f>IF(G118=$E$20,$E$19,0)+IF(G118=Assumptions!$C$125,Assumptions!$C$124,0)</f>
        <v>0</v>
      </c>
      <c r="H130" s="80">
        <f>IF(H118=$E$20,$E$19,0)+IF(H118=Assumptions!$C$125,Assumptions!$C$124,0)</f>
        <v>0</v>
      </c>
      <c r="I130" s="80">
        <f>IF(I118=$E$20,$E$19,0)+IF(I118=Assumptions!$C$125,Assumptions!$C$124,0)</f>
        <v>0</v>
      </c>
      <c r="J130" s="80">
        <f>IF(J118=$E$20,$E$19,0)+IF(J118=Assumptions!$C$125,Assumptions!$C$124,0)</f>
        <v>0</v>
      </c>
      <c r="K130" s="80">
        <f>IF(K118=$E$20,$E$19,0)+IF(K118=Assumptions!$C$125,Assumptions!$C$124,0)</f>
        <v>0</v>
      </c>
      <c r="L130" s="80">
        <f>IF(L118=$E$20,$E$19,0)+IF(L118=Assumptions!$C$125,Assumptions!$C$124,0)</f>
        <v>0</v>
      </c>
      <c r="M130" s="80">
        <f>IF(M118=$E$20,$E$19,0)+IF(M118=Assumptions!$C$125,Assumptions!$C$124,0)</f>
        <v>0</v>
      </c>
      <c r="N130" s="80">
        <f>IF(N118=$E$20,$E$19,0)+IF(N118=Assumptions!$C$125,Assumptions!$C$124,0)</f>
        <v>0</v>
      </c>
      <c r="O130" s="80">
        <f>IF(O118=$E$20,$E$19,0)+IF(O118=Assumptions!$C$125,Assumptions!$C$124,0)</f>
        <v>0</v>
      </c>
      <c r="P130" s="80">
        <f>IF(P118=$E$20,$E$19,0)+IF(P118=Assumptions!$C$125,Assumptions!$C$124,0)</f>
        <v>0</v>
      </c>
      <c r="Q130" s="80">
        <f t="shared" si="17"/>
        <v>0</v>
      </c>
    </row>
    <row r="131" spans="2:17" ht="13.5" customHeight="1" x14ac:dyDescent="0.35">
      <c r="B131" s="78" t="s">
        <v>261</v>
      </c>
      <c r="C131" s="21"/>
      <c r="D131" s="136">
        <f t="shared" ref="D131:P131" si="19">SUM(D126:D130)</f>
        <v>46065.072480000003</v>
      </c>
      <c r="E131" s="136">
        <f t="shared" si="19"/>
        <v>73236.579232000004</v>
      </c>
      <c r="F131" s="136">
        <f t="shared" si="19"/>
        <v>45771.104175999993</v>
      </c>
      <c r="G131" s="136">
        <f t="shared" si="19"/>
        <v>44656.217871999994</v>
      </c>
      <c r="H131" s="136">
        <f t="shared" si="19"/>
        <v>45677.031791999994</v>
      </c>
      <c r="I131" s="136">
        <f t="shared" si="19"/>
        <v>47382.449855999999</v>
      </c>
      <c r="J131" s="136">
        <f t="shared" si="19"/>
        <v>66827.499792000002</v>
      </c>
      <c r="K131" s="136">
        <f t="shared" si="19"/>
        <v>49009.093728000007</v>
      </c>
      <c r="L131" s="136">
        <f t="shared" si="19"/>
        <v>48341.004544000003</v>
      </c>
      <c r="M131" s="136">
        <f t="shared" si="19"/>
        <v>49899.355519999997</v>
      </c>
      <c r="N131" s="136">
        <f t="shared" si="19"/>
        <v>84087.087392000001</v>
      </c>
      <c r="O131" s="136">
        <f t="shared" si="19"/>
        <v>53035.655455999993</v>
      </c>
      <c r="P131" s="136">
        <f t="shared" si="19"/>
        <v>80376.418655999994</v>
      </c>
      <c r="Q131" s="136">
        <f t="shared" si="17"/>
        <v>734364.57049600012</v>
      </c>
    </row>
    <row r="132" spans="2:17" ht="13.5" customHeight="1" x14ac:dyDescent="0.35">
      <c r="B132" s="75" t="s">
        <v>263</v>
      </c>
      <c r="C132" s="59" t="s">
        <v>527</v>
      </c>
      <c r="D132" s="80">
        <f>D125*Assumptions!$C$76*IF(D119=1,1,$E$21)+SUMIFS(Assumptions!$C$116:$C$119,Assumptions!$D$116:$D$119,D118)</f>
        <v>11210.989980599999</v>
      </c>
      <c r="E132" s="80">
        <f>E125*Assumptions!$C$76*IF(E119=1,1,$E$21)+SUMIFS(Assumptions!$C$116:$C$119,Assumptions!$D$116:$D$119,E118)</f>
        <v>71170.528108639992</v>
      </c>
      <c r="F132" s="80">
        <f>F125*Assumptions!$C$76*IF(F119=1,1,$E$21)+SUMIFS(Assumptions!$C$116:$C$119,Assumptions!$D$116:$D$119,F118)</f>
        <v>10999.219291360001</v>
      </c>
      <c r="G132" s="80">
        <f>G125*Assumptions!$C$76*IF(G119=1,1,$E$21)+SUMIFS(Assumptions!$C$116:$C$119,Assumptions!$D$116:$D$119,G118)</f>
        <v>10834.961637199998</v>
      </c>
      <c r="H132" s="80">
        <f>H125*Assumptions!$C$76*IF(H119=1,1,$E$21)+SUMIFS(Assumptions!$C$116:$C$119,Assumptions!$D$116:$D$119,H118)</f>
        <v>57236.21507844</v>
      </c>
      <c r="I132" s="80">
        <f>I125*Assumptions!$C$76*IF(I119=1,1,$E$21)+SUMIFS(Assumptions!$C$116:$C$119,Assumptions!$D$116:$D$119,I118)</f>
        <v>11633.96197076</v>
      </c>
      <c r="J132" s="80">
        <f>J125*Assumptions!$C$76*IF(J119=1,1,$E$21)+SUMIFS(Assumptions!$C$116:$C$119,Assumptions!$D$116:$D$119,J118)</f>
        <v>15803.655444</v>
      </c>
      <c r="K132" s="80">
        <f>K125*Assumptions!$C$76*IF(K119=1,1,$E$21)+SUMIFS(Assumptions!$C$116:$C$119,Assumptions!$D$116:$D$119,K118)</f>
        <v>94130.241482159996</v>
      </c>
      <c r="L132" s="80">
        <f>L125*Assumptions!$C$76*IF(L119=1,1,$E$21)+SUMIFS(Assumptions!$C$116:$C$119,Assumptions!$D$116:$D$119,L118)</f>
        <v>11852.745757840001</v>
      </c>
      <c r="M132" s="80">
        <f>M125*Assumptions!$C$76*IF(M119=1,1,$E$21)+SUMIFS(Assumptions!$C$116:$C$119,Assumptions!$D$116:$D$119,M118)</f>
        <v>12316.217685239997</v>
      </c>
      <c r="N132" s="80">
        <f>N125*Assumptions!$C$76*IF(N119=1,1,$E$21)+SUMIFS(Assumptions!$C$116:$C$119,Assumptions!$D$116:$D$119,N118)</f>
        <v>72522.680726480001</v>
      </c>
      <c r="O132" s="80">
        <f>O125*Assumptions!$C$76*IF(O119=1,1,$E$21)+SUMIFS(Assumptions!$C$116:$C$119,Assumptions!$D$116:$D$119,O118)</f>
        <v>13097.006018799999</v>
      </c>
      <c r="P132" s="80">
        <f>P125*Assumptions!$C$76*IF(P119=1,1,$E$21)+SUMIFS(Assumptions!$C$116:$C$119,Assumptions!$D$116:$D$119,P118)</f>
        <v>18925.53047912</v>
      </c>
      <c r="Q132" s="80">
        <f t="shared" si="17"/>
        <v>411733.95366063999</v>
      </c>
    </row>
    <row r="133" spans="2:17" ht="13.5" customHeight="1" x14ac:dyDescent="0.35">
      <c r="B133" s="75" t="s">
        <v>528</v>
      </c>
      <c r="C133" s="59" t="s">
        <v>161</v>
      </c>
      <c r="D133" s="80">
        <f>(Assumptions!$C$47*(1+$E$9)*D$184+Assumptions!$C$92)*'13W Cash Flow'!D$70</f>
        <v>0</v>
      </c>
      <c r="E133" s="80">
        <f>(Assumptions!$C$47*(1+$E$9)*E$184+Assumptions!$C$92)*'13W Cash Flow'!E$70</f>
        <v>0</v>
      </c>
      <c r="F133" s="80">
        <f>(Assumptions!$C$47*(1+$E$9)*F$184+Assumptions!$C$92)*'13W Cash Flow'!F$70</f>
        <v>0</v>
      </c>
      <c r="G133" s="80">
        <f>(Assumptions!$C$47*(1+$E$9)*G$184+Assumptions!$C$92)*'13W Cash Flow'!G$70</f>
        <v>0</v>
      </c>
      <c r="H133" s="80">
        <f>(Assumptions!$C$47*(1+$E$9)*H$184+Assumptions!$C$92)*'13W Cash Flow'!H$70</f>
        <v>42480</v>
      </c>
      <c r="I133" s="80">
        <f>(Assumptions!$C$47*(1+$E$9)*I$184+Assumptions!$C$92)*'13W Cash Flow'!I$70</f>
        <v>0</v>
      </c>
      <c r="J133" s="80">
        <f>(Assumptions!$C$47*(1+$E$9)*J$184+Assumptions!$C$92)*'13W Cash Flow'!J$70</f>
        <v>0</v>
      </c>
      <c r="K133" s="80">
        <f>(Assumptions!$C$47*(1+$E$9)*K$184+Assumptions!$C$92)*'13W Cash Flow'!K$70</f>
        <v>0</v>
      </c>
      <c r="L133" s="80">
        <f>(Assumptions!$C$47*(1+$E$9)*L$184+Assumptions!$C$92)*'13W Cash Flow'!L$70</f>
        <v>42480</v>
      </c>
      <c r="M133" s="80">
        <f>(Assumptions!$C$47*(1+$E$9)*M$184+Assumptions!$C$92)*'13W Cash Flow'!M$70</f>
        <v>0</v>
      </c>
      <c r="N133" s="80">
        <f>(Assumptions!$C$47*(1+$E$9)*N$184+Assumptions!$C$92)*'13W Cash Flow'!N$70</f>
        <v>0</v>
      </c>
      <c r="O133" s="80">
        <f>(Assumptions!$C$47*(1+$E$9)*O$184+Assumptions!$C$92)*'13W Cash Flow'!O$70</f>
        <v>0</v>
      </c>
      <c r="P133" s="80">
        <f>(Assumptions!$C$47*(1+$E$9)*P$184+Assumptions!$C$92)*'13W Cash Flow'!P$70</f>
        <v>42480</v>
      </c>
      <c r="Q133" s="80">
        <f t="shared" si="17"/>
        <v>127440</v>
      </c>
    </row>
    <row r="134" spans="2:17" ht="13.5" customHeight="1" x14ac:dyDescent="0.35">
      <c r="B134" s="75" t="s">
        <v>529</v>
      </c>
      <c r="C134" s="59" t="s">
        <v>530</v>
      </c>
      <c r="D134" s="80">
        <f>D119*(Assumptions!$C$46*'13W Cash Flow'!D$65+(Assumptions!$C$48*'13W Cash Flow'!D$68+Assumptions!$C$49*'13W Cash Flow'!D$67+Assumptions!$C$50*'13W Cash Flow'!D$65)*(1+$E$10))</f>
        <v>0</v>
      </c>
      <c r="E134" s="80">
        <f>E119*(Assumptions!$C$46*'13W Cash Flow'!E$65+(Assumptions!$C$48*'13W Cash Flow'!E$68+Assumptions!$C$49*'13W Cash Flow'!E$67+Assumptions!$C$50*'13W Cash Flow'!E$65)*(1+$E$10))</f>
        <v>2806</v>
      </c>
      <c r="F134" s="80">
        <f>F119*(Assumptions!$C$46*'13W Cash Flow'!F$65+(Assumptions!$C$48*'13W Cash Flow'!F$68+Assumptions!$C$49*'13W Cash Flow'!F$67+Assumptions!$C$50*'13W Cash Flow'!F$65)*(1+$E$10))</f>
        <v>0</v>
      </c>
      <c r="G134" s="80">
        <f>G119*(Assumptions!$C$46*'13W Cash Flow'!G$65+(Assumptions!$C$48*'13W Cash Flow'!G$68+Assumptions!$C$49*'13W Cash Flow'!G$67+Assumptions!$C$50*'13W Cash Flow'!G$65)*(1+$E$10))</f>
        <v>0</v>
      </c>
      <c r="H134" s="80">
        <f>H119*(Assumptions!$C$46*'13W Cash Flow'!H$65+(Assumptions!$C$48*'13W Cash Flow'!H$68+Assumptions!$C$49*'13W Cash Flow'!H$67+Assumptions!$C$50*'13W Cash Flow'!H$65)*(1+$E$10))</f>
        <v>22828</v>
      </c>
      <c r="I134" s="80">
        <f>I119*(Assumptions!$C$46*'13W Cash Flow'!I$65+(Assumptions!$C$48*'13W Cash Flow'!I$68+Assumptions!$C$49*'13W Cash Flow'!I$67+Assumptions!$C$50*'13W Cash Flow'!I$65)*(1+$E$10))</f>
        <v>414</v>
      </c>
      <c r="J134" s="80">
        <f>J119*(Assumptions!$C$46*'13W Cash Flow'!J$65+(Assumptions!$C$48*'13W Cash Flow'!J$68+Assumptions!$C$49*'13W Cash Flow'!J$67+Assumptions!$C$50*'13W Cash Flow'!J$65)*(1+$E$10))</f>
        <v>2392</v>
      </c>
      <c r="K134" s="80">
        <f>K119*(Assumptions!$C$46*'13W Cash Flow'!K$65+(Assumptions!$C$48*'13W Cash Flow'!K$68+Assumptions!$C$49*'13W Cash Flow'!K$67+Assumptions!$C$50*'13W Cash Flow'!K$65)*(1+$E$10))</f>
        <v>0</v>
      </c>
      <c r="L134" s="80">
        <f>L119*(Assumptions!$C$46*'13W Cash Flow'!L$65+(Assumptions!$C$48*'13W Cash Flow'!L$68+Assumptions!$C$49*'13W Cash Flow'!L$67+Assumptions!$C$50*'13W Cash Flow'!L$65)*(1+$E$10))</f>
        <v>22828</v>
      </c>
      <c r="M134" s="80">
        <f>M119*(Assumptions!$C$46*'13W Cash Flow'!M$65+(Assumptions!$C$48*'13W Cash Flow'!M$68+Assumptions!$C$49*'13W Cash Flow'!M$67+Assumptions!$C$50*'13W Cash Flow'!M$65)*(1+$E$10))</f>
        <v>414</v>
      </c>
      <c r="N134" s="80">
        <f>N119*(Assumptions!$C$46*'13W Cash Flow'!N$65+(Assumptions!$C$48*'13W Cash Flow'!N$68+Assumptions!$C$49*'13W Cash Flow'!N$67+Assumptions!$C$50*'13W Cash Flow'!N$65)*(1+$E$10))</f>
        <v>2392</v>
      </c>
      <c r="O134" s="80">
        <f>O119*(Assumptions!$C$46*'13W Cash Flow'!O$65+(Assumptions!$C$48*'13W Cash Flow'!O$68+Assumptions!$C$49*'13W Cash Flow'!O$67+Assumptions!$C$50*'13W Cash Flow'!O$65)*(1+$E$10))</f>
        <v>0</v>
      </c>
      <c r="P134" s="80">
        <f>P119*(Assumptions!$C$46*'13W Cash Flow'!P$65+(Assumptions!$C$48*'13W Cash Flow'!P$68+Assumptions!$C$49*'13W Cash Flow'!P$67+Assumptions!$C$50*'13W Cash Flow'!P$65)*(1+$E$10))</f>
        <v>22828</v>
      </c>
      <c r="Q134" s="80">
        <f t="shared" si="17"/>
        <v>76902</v>
      </c>
    </row>
    <row r="135" spans="2:17" ht="13.5" customHeight="1" x14ac:dyDescent="0.35">
      <c r="B135" s="75" t="s">
        <v>531</v>
      </c>
      <c r="C135" s="59" t="s">
        <v>270</v>
      </c>
      <c r="D135" s="80">
        <f>D121*Assumptions!$C$40*$E$13+Assumptions!$C$62*'13W Cash Flow'!D$67</f>
        <v>1919.83176</v>
      </c>
      <c r="E135" s="80">
        <f>E121*Assumptions!$C$40*$E$13+Assumptions!$C$62*'13W Cash Flow'!E$67</f>
        <v>6578.1684000000005</v>
      </c>
      <c r="F135" s="80">
        <f>F121*Assumptions!$C$40*$E$13+Assumptions!$C$62*'13W Cash Flow'!F$67</f>
        <v>1900.0396799999999</v>
      </c>
      <c r="G135" s="80">
        <f>G121*Assumptions!$C$40*$E$13+Assumptions!$C$62*'13W Cash Flow'!G$67</f>
        <v>1880.2475999999999</v>
      </c>
      <c r="H135" s="80">
        <f>H121*Assumptions!$C$40*$E$13+Assumptions!$C$62*'13W Cash Flow'!H$67</f>
        <v>1959.4159199999999</v>
      </c>
      <c r="I135" s="80">
        <f>I121*Assumptions!$C$40*$E$13+Assumptions!$C$62*'13W Cash Flow'!I$67</f>
        <v>6518.79216</v>
      </c>
      <c r="J135" s="80">
        <f>J121*Assumptions!$C$40*$E$13+Assumptions!$C$62*'13W Cash Flow'!J$67</f>
        <v>2058.3763200000003</v>
      </c>
      <c r="K135" s="80">
        <f>K121*Assumptions!$C$40*$E$13+Assumptions!$C$62*'13W Cash Flow'!K$67</f>
        <v>2097.9604799999997</v>
      </c>
      <c r="L135" s="80">
        <f>L121*Assumptions!$C$40*$E$13+Assumptions!$C$62*'13W Cash Flow'!L$67</f>
        <v>2078.1684</v>
      </c>
      <c r="M135" s="80">
        <f>M121*Assumptions!$C$40*$E$13+Assumptions!$C$62*'13W Cash Flow'!M$67</f>
        <v>6637.5446400000001</v>
      </c>
      <c r="N135" s="80">
        <f>N121*Assumptions!$C$40*$E$13+Assumptions!$C$62*'13W Cash Flow'!N$67</f>
        <v>2216.7129600000003</v>
      </c>
      <c r="O135" s="80">
        <f>O121*Assumptions!$C$40*$E$13+Assumptions!$C$62*'13W Cash Flow'!O$67</f>
        <v>2276.0891999999999</v>
      </c>
      <c r="P135" s="80">
        <f>P121*Assumptions!$C$40*$E$13+Assumptions!$C$62*'13W Cash Flow'!P$67</f>
        <v>2375.0495999999998</v>
      </c>
      <c r="Q135" s="80">
        <f t="shared" si="17"/>
        <v>40496.397120000001</v>
      </c>
    </row>
    <row r="136" spans="2:17" ht="13.5" customHeight="1" x14ac:dyDescent="0.35">
      <c r="B136" s="75" t="s">
        <v>350</v>
      </c>
      <c r="C136" s="59" t="s">
        <v>272</v>
      </c>
      <c r="D136" s="80">
        <f>D121*Assumptions!$C$39+D123*Assumptions!$C$43</f>
        <v>1499.5851600000001</v>
      </c>
      <c r="E136" s="80">
        <f>E121*Assumptions!$C$39+E123*Assumptions!$C$43</f>
        <v>1618.6494000000002</v>
      </c>
      <c r="F136" s="80">
        <f>F121*Assumptions!$C$39+F123*Assumptions!$C$43</f>
        <v>1484.11338</v>
      </c>
      <c r="G136" s="80">
        <f>G121*Assumptions!$C$39+G123*Assumptions!$C$43</f>
        <v>1468.6415999999999</v>
      </c>
      <c r="H136" s="80">
        <f>H121*Assumptions!$C$39+H123*Assumptions!$C$43</f>
        <v>1529.35122</v>
      </c>
      <c r="I136" s="80">
        <f>I121*Assumptions!$C$39+I123*Assumptions!$C$43</f>
        <v>1575.76656</v>
      </c>
      <c r="J136" s="80">
        <f>J121*Assumptions!$C$39+J123*Assumptions!$C$43</f>
        <v>1606.7101200000002</v>
      </c>
      <c r="K136" s="80">
        <f>K121*Assumptions!$C$39+K123*Assumptions!$C$43</f>
        <v>1636.4761799999999</v>
      </c>
      <c r="L136" s="80">
        <f>L121*Assumptions!$C$39+L123*Assumptions!$C$43</f>
        <v>1619.8269000000003</v>
      </c>
      <c r="M136" s="80">
        <f>M121*Assumptions!$C$39+M123*Assumptions!$C$43</f>
        <v>1667.41974</v>
      </c>
      <c r="N136" s="80">
        <f>N121*Assumptions!$C$39+N123*Assumptions!$C$43</f>
        <v>1728.1293600000004</v>
      </c>
      <c r="O136" s="80">
        <f>O121*Assumptions!$C$39+O123*Assumptions!$C$43</f>
        <v>1773.3671999999999</v>
      </c>
      <c r="P136" s="80">
        <f>P121*Assumptions!$C$39+P123*Assumptions!$C$43</f>
        <v>1847.1936000000001</v>
      </c>
      <c r="Q136" s="80">
        <f t="shared" si="17"/>
        <v>21055.23042</v>
      </c>
    </row>
    <row r="137" spans="2:17" ht="13.5" customHeight="1" x14ac:dyDescent="0.35">
      <c r="B137" s="75" t="s">
        <v>273</v>
      </c>
      <c r="C137" s="59" t="s">
        <v>272</v>
      </c>
      <c r="D137" s="80">
        <f>D120*Assumptions!$C$34+D121*Assumptions!$C$35+D122*Assumptions!$C$36</f>
        <v>964.49278800000002</v>
      </c>
      <c r="E137" s="80">
        <f>E120*Assumptions!$C$34+E121*Assumptions!$C$35+E122*Assumptions!$C$36</f>
        <v>1505.1633648</v>
      </c>
      <c r="F137" s="80">
        <f>F120*Assumptions!$C$34+F121*Assumptions!$C$35+F122*Assumptions!$C$36</f>
        <v>947.19280319999996</v>
      </c>
      <c r="G137" s="80">
        <f>G120*Assumptions!$C$34+G121*Assumptions!$C$35+G122*Assumptions!$C$36</f>
        <v>933.53366400000004</v>
      </c>
      <c r="H137" s="80">
        <f>H120*Assumptions!$C$34+H121*Assumptions!$C$35+H122*Assumptions!$C$36</f>
        <v>969.96599280000009</v>
      </c>
      <c r="I137" s="80">
        <f>I120*Assumptions!$C$34+I121*Assumptions!$C$35+I122*Assumptions!$C$36</f>
        <v>1003.6617192000001</v>
      </c>
      <c r="J137" s="80">
        <f>J120*Assumptions!$C$34+J121*Assumptions!$C$35+J122*Assumptions!$C$36</f>
        <v>1381.195152</v>
      </c>
      <c r="K137" s="80">
        <f>K120*Assumptions!$C$34+K121*Assumptions!$C$35+K122*Assumptions!$C$36</f>
        <v>1047.3757392</v>
      </c>
      <c r="L137" s="80">
        <f>L120*Assumptions!$C$34+L121*Assumptions!$C$35+L122*Assumptions!$C$36</f>
        <v>1026.4349088000001</v>
      </c>
      <c r="M137" s="80">
        <f>M120*Assumptions!$C$34+M121*Assumptions!$C$35+M122*Assumptions!$C$36</f>
        <v>1063.7714808000001</v>
      </c>
      <c r="N137" s="80">
        <f>N120*Assumptions!$C$34+N121*Assumptions!$C$35+N122*Assumptions!$C$36</f>
        <v>1719.4518096000002</v>
      </c>
      <c r="O137" s="80">
        <f>O120*Assumptions!$C$34+O121*Assumptions!$C$35+O122*Assumptions!$C$36</f>
        <v>1133.8995359999999</v>
      </c>
      <c r="P137" s="80">
        <f>P120*Assumptions!$C$34+P121*Assumptions!$C$35+P122*Assumptions!$C$36</f>
        <v>1666.9021584000002</v>
      </c>
      <c r="Q137" s="80">
        <f t="shared" si="17"/>
        <v>15363.041116800003</v>
      </c>
    </row>
    <row r="138" spans="2:17" ht="13.5" customHeight="1" x14ac:dyDescent="0.35">
      <c r="B138" s="75" t="s">
        <v>532</v>
      </c>
      <c r="C138" s="59" t="s">
        <v>272</v>
      </c>
      <c r="D138" s="80">
        <f>D122*Assumptions!$C$41+D120*(Assumptions!$C$37+Assumptions!$C$38)</f>
        <v>730.19181199999991</v>
      </c>
      <c r="E138" s="80">
        <f>E122*Assumptions!$C$41+E120*(Assumptions!$C$37+Assumptions!$C$38)</f>
        <v>5020.5127967999997</v>
      </c>
      <c r="F138" s="80">
        <f>F122*Assumptions!$C$41+F120*(Assumptions!$C$37+Assumptions!$C$38)</f>
        <v>707.1331232</v>
      </c>
      <c r="G138" s="80">
        <f>G122*Assumptions!$C$41+G120*(Assumptions!$C$37+Assumptions!$C$38)</f>
        <v>691.76066399999991</v>
      </c>
      <c r="H138" s="80">
        <f>H122*Assumptions!$C$41+H120*(Assumptions!$C$37+Assumptions!$C$38)</f>
        <v>714.81935279999993</v>
      </c>
      <c r="I138" s="80">
        <f>I122*Assumptions!$C$41+I120*(Assumptions!$C$37+Assumptions!$C$38)</f>
        <v>745.56427119999989</v>
      </c>
      <c r="J138" s="80">
        <f>J122*Assumptions!$C$41+J120*(Assumptions!$C$37+Assumptions!$C$38)</f>
        <v>4120.9429599999994</v>
      </c>
      <c r="K138" s="80">
        <f>K122*Assumptions!$C$41+K120*(Assumptions!$C$37+Assumptions!$C$38)</f>
        <v>783.99541920000001</v>
      </c>
      <c r="L138" s="80">
        <f>L122*Assumptions!$C$41+L120*(Assumptions!$C$37+Assumptions!$C$38)</f>
        <v>753.25050080000005</v>
      </c>
      <c r="M138" s="80">
        <f>M122*Assumptions!$C$41+M120*(Assumptions!$C$37+Assumptions!$C$38)</f>
        <v>791.68164879999995</v>
      </c>
      <c r="N138" s="80">
        <f>N122*Assumptions!$C$41+N120*(Assumptions!$C$37+Assumptions!$C$38)</f>
        <v>6681.3003375999997</v>
      </c>
      <c r="O138" s="80">
        <f>O122*Assumptions!$C$41+O120*(Assumptions!$C$37+Assumptions!$C$38)</f>
        <v>845.48525599999982</v>
      </c>
      <c r="P138" s="80">
        <f>P122*Assumptions!$C$41+P120*(Assumptions!$C$37+Assumptions!$C$38)</f>
        <v>5485.6701744000002</v>
      </c>
      <c r="Q138" s="80">
        <f t="shared" si="17"/>
        <v>28072.308316800001</v>
      </c>
    </row>
    <row r="139" spans="2:17" ht="13.5" customHeight="1" x14ac:dyDescent="0.35">
      <c r="B139" s="75" t="s">
        <v>533</v>
      </c>
      <c r="C139" s="59" t="s">
        <v>534</v>
      </c>
      <c r="D139" s="80">
        <f>(Assumptions!$C$61+Assumptions!$C$54)*'13W Cash Flow'!D$67+Assumptions!$C$60*'13W Cash Flow'!D$69+Assumptions!$C$63*'13W Cash Flow'!D$65</f>
        <v>0</v>
      </c>
      <c r="E139" s="80">
        <f>(Assumptions!$C$61+Assumptions!$C$54)*'13W Cash Flow'!E$67+Assumptions!$C$60*'13W Cash Flow'!E$69+Assumptions!$C$63*'13W Cash Flow'!E$65</f>
        <v>2000</v>
      </c>
      <c r="F139" s="80">
        <f>(Assumptions!$C$61+Assumptions!$C$54)*'13W Cash Flow'!F$67+Assumptions!$C$60*'13W Cash Flow'!F$69+Assumptions!$C$63*'13W Cash Flow'!F$65</f>
        <v>1800</v>
      </c>
      <c r="G139" s="80">
        <f>(Assumptions!$C$61+Assumptions!$C$54)*'13W Cash Flow'!G$67+Assumptions!$C$60*'13W Cash Flow'!G$69+Assumptions!$C$63*'13W Cash Flow'!G$65</f>
        <v>0</v>
      </c>
      <c r="H139" s="80">
        <f>(Assumptions!$C$61+Assumptions!$C$54)*'13W Cash Flow'!H$67+Assumptions!$C$60*'13W Cash Flow'!H$69+Assumptions!$C$63*'13W Cash Flow'!H$65</f>
        <v>1500</v>
      </c>
      <c r="I139" s="80">
        <f>(Assumptions!$C$61+Assumptions!$C$54)*'13W Cash Flow'!I$67+Assumptions!$C$60*'13W Cash Flow'!I$69+Assumptions!$C$63*'13W Cash Flow'!I$65</f>
        <v>2000</v>
      </c>
      <c r="J139" s="80">
        <f>(Assumptions!$C$61+Assumptions!$C$54)*'13W Cash Flow'!J$67+Assumptions!$C$60*'13W Cash Flow'!J$69+Assumptions!$C$63*'13W Cash Flow'!J$65</f>
        <v>1800</v>
      </c>
      <c r="K139" s="80">
        <f>(Assumptions!$C$61+Assumptions!$C$54)*'13W Cash Flow'!K$67+Assumptions!$C$60*'13W Cash Flow'!K$69+Assumptions!$C$63*'13W Cash Flow'!K$65</f>
        <v>0</v>
      </c>
      <c r="L139" s="80">
        <f>(Assumptions!$C$61+Assumptions!$C$54)*'13W Cash Flow'!L$67+Assumptions!$C$60*'13W Cash Flow'!L$69+Assumptions!$C$63*'13W Cash Flow'!L$65</f>
        <v>1500</v>
      </c>
      <c r="M139" s="80">
        <f>(Assumptions!$C$61+Assumptions!$C$54)*'13W Cash Flow'!M$67+Assumptions!$C$60*'13W Cash Flow'!M$69+Assumptions!$C$63*'13W Cash Flow'!M$65</f>
        <v>2000</v>
      </c>
      <c r="N139" s="80">
        <f>(Assumptions!$C$61+Assumptions!$C$54)*'13W Cash Flow'!N$67+Assumptions!$C$60*'13W Cash Flow'!N$69+Assumptions!$C$63*'13W Cash Flow'!N$65</f>
        <v>0</v>
      </c>
      <c r="O139" s="80">
        <f>(Assumptions!$C$61+Assumptions!$C$54)*'13W Cash Flow'!O$67+Assumptions!$C$60*'13W Cash Flow'!O$69+Assumptions!$C$63*'13W Cash Flow'!O$65</f>
        <v>1800</v>
      </c>
      <c r="P139" s="80">
        <f>(Assumptions!$C$61+Assumptions!$C$54)*'13W Cash Flow'!P$67+Assumptions!$C$60*'13W Cash Flow'!P$69+Assumptions!$C$63*'13W Cash Flow'!P$65</f>
        <v>1500</v>
      </c>
      <c r="Q139" s="80">
        <f t="shared" si="17"/>
        <v>15900</v>
      </c>
    </row>
    <row r="140" spans="2:17" ht="13.5" customHeight="1" x14ac:dyDescent="0.35">
      <c r="B140" s="75" t="s">
        <v>535</v>
      </c>
      <c r="C140" s="59" t="s">
        <v>536</v>
      </c>
      <c r="D140" s="80">
        <f>IF(D118=Assumptions!$C$89,Assumptions!$C$88,0)+Assumptions!$C$87*'13W Cash Flow'!D$66</f>
        <v>4200</v>
      </c>
      <c r="E140" s="80">
        <f>IF(E118=Assumptions!$C$89,Assumptions!$C$88,0)+Assumptions!$C$87*'13W Cash Flow'!E$66</f>
        <v>0</v>
      </c>
      <c r="F140" s="80">
        <f>IF(F118=Assumptions!$C$89,Assumptions!$C$88,0)+Assumptions!$C$87*'13W Cash Flow'!F$66</f>
        <v>0</v>
      </c>
      <c r="G140" s="80">
        <f>IF(G118=Assumptions!$C$89,Assumptions!$C$88,0)+Assumptions!$C$87*'13W Cash Flow'!G$66</f>
        <v>0</v>
      </c>
      <c r="H140" s="80">
        <f>IF(H118=Assumptions!$C$89,Assumptions!$C$88,0)+Assumptions!$C$87*'13W Cash Flow'!H$66</f>
        <v>4200</v>
      </c>
      <c r="I140" s="80">
        <f>IF(I118=Assumptions!$C$89,Assumptions!$C$88,0)+Assumptions!$C$87*'13W Cash Flow'!I$66</f>
        <v>0</v>
      </c>
      <c r="J140" s="80">
        <f>IF(J118=Assumptions!$C$89,Assumptions!$C$88,0)+Assumptions!$C$87*'13W Cash Flow'!J$66</f>
        <v>0</v>
      </c>
      <c r="K140" s="80">
        <f>IF(K118=Assumptions!$C$89,Assumptions!$C$88,0)+Assumptions!$C$87*'13W Cash Flow'!K$66</f>
        <v>0</v>
      </c>
      <c r="L140" s="80">
        <f>IF(L118=Assumptions!$C$89,Assumptions!$C$88,0)+Assumptions!$C$87*'13W Cash Flow'!L$66</f>
        <v>26500</v>
      </c>
      <c r="M140" s="80">
        <f>IF(M118=Assumptions!$C$89,Assumptions!$C$88,0)+Assumptions!$C$87*'13W Cash Flow'!M$66</f>
        <v>4200</v>
      </c>
      <c r="N140" s="80">
        <f>IF(N118=Assumptions!$C$89,Assumptions!$C$88,0)+Assumptions!$C$87*'13W Cash Flow'!N$66</f>
        <v>0</v>
      </c>
      <c r="O140" s="80">
        <f>IF(O118=Assumptions!$C$89,Assumptions!$C$88,0)+Assumptions!$C$87*'13W Cash Flow'!O$66</f>
        <v>0</v>
      </c>
      <c r="P140" s="80">
        <f>IF(P118=Assumptions!$C$89,Assumptions!$C$88,0)+Assumptions!$C$87*'13W Cash Flow'!P$66</f>
        <v>0</v>
      </c>
      <c r="Q140" s="80">
        <f t="shared" si="17"/>
        <v>39100</v>
      </c>
    </row>
    <row r="141" spans="2:17" ht="13.5" customHeight="1" x14ac:dyDescent="0.35">
      <c r="B141" s="75" t="s">
        <v>464</v>
      </c>
      <c r="C141" s="59" t="s">
        <v>537</v>
      </c>
      <c r="D141" s="80">
        <f t="shared" ref="D141:P141" si="20">IF(D118=$E$17,$E$15*$E$16,0)+IF(D118=$E$18,$E$15*(1-$E$16),0)</f>
        <v>0</v>
      </c>
      <c r="E141" s="80">
        <f t="shared" si="20"/>
        <v>0</v>
      </c>
      <c r="F141" s="80">
        <f t="shared" si="20"/>
        <v>0</v>
      </c>
      <c r="G141" s="80">
        <f t="shared" si="20"/>
        <v>0</v>
      </c>
      <c r="H141" s="80">
        <f t="shared" si="20"/>
        <v>0</v>
      </c>
      <c r="I141" s="80">
        <f t="shared" si="20"/>
        <v>0</v>
      </c>
      <c r="J141" s="80">
        <f t="shared" si="20"/>
        <v>0</v>
      </c>
      <c r="K141" s="80">
        <f t="shared" si="20"/>
        <v>0</v>
      </c>
      <c r="L141" s="80">
        <f t="shared" si="20"/>
        <v>0</v>
      </c>
      <c r="M141" s="80">
        <f t="shared" si="20"/>
        <v>0</v>
      </c>
      <c r="N141" s="80">
        <f t="shared" si="20"/>
        <v>0</v>
      </c>
      <c r="O141" s="80">
        <f t="shared" si="20"/>
        <v>0</v>
      </c>
      <c r="P141" s="80">
        <f t="shared" si="20"/>
        <v>0</v>
      </c>
      <c r="Q141" s="80">
        <f t="shared" si="17"/>
        <v>0</v>
      </c>
    </row>
    <row r="142" spans="2:17" ht="13.5" customHeight="1" x14ac:dyDescent="0.35">
      <c r="B142" s="78" t="s">
        <v>290</v>
      </c>
      <c r="C142" s="21"/>
      <c r="D142" s="136">
        <f t="shared" ref="D142:P142" si="21">SUM(D132:D141)</f>
        <v>20525.0915006</v>
      </c>
      <c r="E142" s="136">
        <f t="shared" si="21"/>
        <v>90699.022070239982</v>
      </c>
      <c r="F142" s="136">
        <f t="shared" si="21"/>
        <v>17837.698277759999</v>
      </c>
      <c r="G142" s="136">
        <f t="shared" si="21"/>
        <v>15809.1451652</v>
      </c>
      <c r="H142" s="136">
        <f t="shared" si="21"/>
        <v>133417.76756404</v>
      </c>
      <c r="I142" s="136">
        <f t="shared" si="21"/>
        <v>23891.746681160002</v>
      </c>
      <c r="J142" s="136">
        <f t="shared" si="21"/>
        <v>29162.879996</v>
      </c>
      <c r="K142" s="136">
        <f t="shared" si="21"/>
        <v>99696.049300559986</v>
      </c>
      <c r="L142" s="136">
        <f t="shared" si="21"/>
        <v>110638.42646743999</v>
      </c>
      <c r="M142" s="136">
        <f t="shared" si="21"/>
        <v>29090.635194840001</v>
      </c>
      <c r="N142" s="136">
        <f t="shared" si="21"/>
        <v>87260.275193680005</v>
      </c>
      <c r="O142" s="136">
        <f t="shared" si="21"/>
        <v>20925.847210799999</v>
      </c>
      <c r="P142" s="136">
        <f t="shared" si="21"/>
        <v>97108.346011920003</v>
      </c>
      <c r="Q142" s="136">
        <f t="shared" si="17"/>
        <v>776062.93063423992</v>
      </c>
    </row>
    <row r="143" spans="2:17" ht="13.5" customHeight="1" x14ac:dyDescent="0.35">
      <c r="B143" s="78" t="s">
        <v>504</v>
      </c>
      <c r="C143" s="21"/>
      <c r="D143" s="137">
        <f t="shared" ref="D143:P143" si="22">D131-D142</f>
        <v>25539.980979400003</v>
      </c>
      <c r="E143" s="137">
        <f t="shared" si="22"/>
        <v>-17462.442838239978</v>
      </c>
      <c r="F143" s="137">
        <f t="shared" si="22"/>
        <v>27933.405898239995</v>
      </c>
      <c r="G143" s="137">
        <f t="shared" si="22"/>
        <v>28847.072706799994</v>
      </c>
      <c r="H143" s="137">
        <f t="shared" si="22"/>
        <v>-87740.735772040003</v>
      </c>
      <c r="I143" s="137">
        <f t="shared" si="22"/>
        <v>23490.703174839997</v>
      </c>
      <c r="J143" s="137">
        <f t="shared" si="22"/>
        <v>37664.619795999999</v>
      </c>
      <c r="K143" s="137">
        <f t="shared" si="22"/>
        <v>-50686.955572559978</v>
      </c>
      <c r="L143" s="137">
        <f t="shared" si="22"/>
        <v>-62297.421923439986</v>
      </c>
      <c r="M143" s="137">
        <f t="shared" si="22"/>
        <v>20808.720325159997</v>
      </c>
      <c r="N143" s="137">
        <f t="shared" si="22"/>
        <v>-3173.1878016800038</v>
      </c>
      <c r="O143" s="137">
        <f t="shared" si="22"/>
        <v>32109.808245199994</v>
      </c>
      <c r="P143" s="137">
        <f t="shared" si="22"/>
        <v>-16731.927355920008</v>
      </c>
      <c r="Q143" s="137">
        <f t="shared" si="17"/>
        <v>-41698.360138239979</v>
      </c>
    </row>
    <row r="144" spans="2:17" ht="13.5" customHeight="1" x14ac:dyDescent="0.35">
      <c r="B144" s="75" t="s">
        <v>505</v>
      </c>
      <c r="C144" s="59" t="s">
        <v>249</v>
      </c>
      <c r="D144" s="80">
        <f>Assumptions!$C$13</f>
        <v>205000</v>
      </c>
      <c r="E144" s="80">
        <f t="shared" ref="E144:P144" si="23">D145</f>
        <v>230539.98097939999</v>
      </c>
      <c r="F144" s="80">
        <f t="shared" si="23"/>
        <v>213077.53814116001</v>
      </c>
      <c r="G144" s="80">
        <f t="shared" si="23"/>
        <v>241010.9440394</v>
      </c>
      <c r="H144" s="80">
        <f t="shared" si="23"/>
        <v>269858.01674619998</v>
      </c>
      <c r="I144" s="80">
        <f t="shared" si="23"/>
        <v>182117.28097415998</v>
      </c>
      <c r="J144" s="80">
        <f t="shared" si="23"/>
        <v>205607.98414899997</v>
      </c>
      <c r="K144" s="80">
        <f t="shared" si="23"/>
        <v>243272.60394499998</v>
      </c>
      <c r="L144" s="80">
        <f t="shared" si="23"/>
        <v>192585.64837244002</v>
      </c>
      <c r="M144" s="80">
        <f t="shared" si="23"/>
        <v>130288.22644900004</v>
      </c>
      <c r="N144" s="80">
        <f t="shared" si="23"/>
        <v>151096.94677416002</v>
      </c>
      <c r="O144" s="80">
        <f t="shared" si="23"/>
        <v>147923.75897248002</v>
      </c>
      <c r="P144" s="80">
        <f t="shared" si="23"/>
        <v>180033.56721768001</v>
      </c>
      <c r="Q144" s="3"/>
    </row>
    <row r="145" spans="2:17" ht="13.5" customHeight="1" x14ac:dyDescent="0.35">
      <c r="B145" s="78" t="s">
        <v>293</v>
      </c>
      <c r="C145" s="21"/>
      <c r="D145" s="138">
        <f t="shared" ref="D145:P145" si="24">D144+D143</f>
        <v>230539.98097939999</v>
      </c>
      <c r="E145" s="138">
        <f t="shared" si="24"/>
        <v>213077.53814116001</v>
      </c>
      <c r="F145" s="138">
        <f t="shared" si="24"/>
        <v>241010.9440394</v>
      </c>
      <c r="G145" s="138">
        <f t="shared" si="24"/>
        <v>269858.01674619998</v>
      </c>
      <c r="H145" s="138">
        <f t="shared" si="24"/>
        <v>182117.28097415998</v>
      </c>
      <c r="I145" s="138">
        <f t="shared" si="24"/>
        <v>205607.98414899997</v>
      </c>
      <c r="J145" s="138">
        <f t="shared" si="24"/>
        <v>243272.60394499998</v>
      </c>
      <c r="K145" s="138">
        <f t="shared" si="24"/>
        <v>192585.64837244002</v>
      </c>
      <c r="L145" s="138">
        <f t="shared" si="24"/>
        <v>130288.22644900004</v>
      </c>
      <c r="M145" s="138">
        <f t="shared" si="24"/>
        <v>151096.94677416002</v>
      </c>
      <c r="N145" s="138">
        <f t="shared" si="24"/>
        <v>147923.75897248002</v>
      </c>
      <c r="O145" s="138">
        <f t="shared" si="24"/>
        <v>180033.56721768001</v>
      </c>
      <c r="P145" s="138">
        <f t="shared" si="24"/>
        <v>163301.63986176002</v>
      </c>
      <c r="Q145" s="3"/>
    </row>
    <row r="146" spans="2:17" ht="13.5" customHeight="1" x14ac:dyDescent="0.35">
      <c r="B146" s="75" t="s">
        <v>538</v>
      </c>
      <c r="C146" s="21"/>
      <c r="D146" s="80">
        <f>D145-Assumptions!$C$14</f>
        <v>110539.98097939999</v>
      </c>
      <c r="E146" s="80">
        <f>E145-Assumptions!$C$14</f>
        <v>93077.53814116001</v>
      </c>
      <c r="F146" s="80">
        <f>F145-Assumptions!$C$14</f>
        <v>121010.9440394</v>
      </c>
      <c r="G146" s="80">
        <f>G145-Assumptions!$C$14</f>
        <v>149858.01674619998</v>
      </c>
      <c r="H146" s="80">
        <f>H145-Assumptions!$C$14</f>
        <v>62117.280974159978</v>
      </c>
      <c r="I146" s="80">
        <f>I145-Assumptions!$C$14</f>
        <v>85607.984148999967</v>
      </c>
      <c r="J146" s="80">
        <f>J145-Assumptions!$C$14</f>
        <v>123272.60394499998</v>
      </c>
      <c r="K146" s="80">
        <f>K145-Assumptions!$C$14</f>
        <v>72585.648372440017</v>
      </c>
      <c r="L146" s="80">
        <f>L145-Assumptions!$C$14</f>
        <v>10288.226449000038</v>
      </c>
      <c r="M146" s="80">
        <f>M145-Assumptions!$C$14</f>
        <v>31096.946774160024</v>
      </c>
      <c r="N146" s="80">
        <f>N145-Assumptions!$C$14</f>
        <v>27923.75897248002</v>
      </c>
      <c r="O146" s="80">
        <f>O145-Assumptions!$C$14</f>
        <v>60033.567217680014</v>
      </c>
      <c r="P146" s="80">
        <f>P145-Assumptions!$C$14</f>
        <v>43301.639861760021</v>
      </c>
      <c r="Q146" s="3"/>
    </row>
    <row r="147" spans="2:17" ht="15" customHeight="1" x14ac:dyDescent="0.35">
      <c r="B147" s="3"/>
      <c r="C147" s="3"/>
      <c r="D147" s="3"/>
      <c r="E147" s="3"/>
      <c r="F147" s="3"/>
      <c r="G147" s="3"/>
      <c r="H147" s="3"/>
      <c r="I147" s="3"/>
      <c r="J147" s="3"/>
      <c r="K147" s="3"/>
      <c r="L147" s="3"/>
      <c r="M147" s="3"/>
      <c r="N147" s="3"/>
      <c r="O147" s="3"/>
      <c r="P147" s="3"/>
      <c r="Q147" s="3"/>
    </row>
    <row r="148" spans="2:17" ht="15" customHeight="1" x14ac:dyDescent="0.35">
      <c r="B148" s="3"/>
      <c r="C148" s="3"/>
      <c r="D148" s="3"/>
      <c r="E148" s="3"/>
      <c r="F148" s="3"/>
      <c r="G148" s="3"/>
      <c r="H148" s="3"/>
      <c r="I148" s="3"/>
      <c r="J148" s="3"/>
      <c r="K148" s="3"/>
      <c r="L148" s="3"/>
      <c r="M148" s="3"/>
      <c r="N148" s="3"/>
      <c r="O148" s="3"/>
      <c r="P148" s="3"/>
      <c r="Q148" s="3"/>
    </row>
    <row r="149" spans="2:17" ht="18" customHeight="1" x14ac:dyDescent="0.35">
      <c r="B149" s="12" t="s">
        <v>540</v>
      </c>
      <c r="C149" s="12"/>
      <c r="D149" s="12"/>
      <c r="E149" s="12"/>
      <c r="F149" s="12"/>
      <c r="G149" s="12"/>
      <c r="H149" s="12"/>
      <c r="I149" s="12"/>
      <c r="J149" s="12"/>
      <c r="K149" s="12"/>
      <c r="L149" s="12"/>
      <c r="M149" s="12"/>
      <c r="N149" s="12"/>
      <c r="O149" s="12"/>
      <c r="P149" s="12"/>
      <c r="Q149" s="12"/>
    </row>
    <row r="150" spans="2:17" ht="21.75" customHeight="1" x14ac:dyDescent="0.35">
      <c r="B150" s="132" t="s">
        <v>76</v>
      </c>
      <c r="C150" s="132" t="s">
        <v>194</v>
      </c>
      <c r="D150" s="133" t="s">
        <v>196</v>
      </c>
      <c r="E150" s="133" t="s">
        <v>197</v>
      </c>
      <c r="F150" s="133" t="s">
        <v>198</v>
      </c>
      <c r="G150" s="133" t="s">
        <v>199</v>
      </c>
      <c r="H150" s="133" t="s">
        <v>200</v>
      </c>
      <c r="I150" s="133" t="s">
        <v>201</v>
      </c>
      <c r="J150" s="133" t="s">
        <v>202</v>
      </c>
      <c r="K150" s="133" t="s">
        <v>203</v>
      </c>
      <c r="L150" s="133" t="s">
        <v>204</v>
      </c>
      <c r="M150" s="133" t="s">
        <v>205</v>
      </c>
      <c r="N150" s="133" t="s">
        <v>206</v>
      </c>
      <c r="O150" s="133" t="s">
        <v>207</v>
      </c>
      <c r="P150" s="133" t="s">
        <v>208</v>
      </c>
      <c r="Q150" s="134" t="s">
        <v>243</v>
      </c>
    </row>
    <row r="151" spans="2:17" ht="13.5" customHeight="1" x14ac:dyDescent="0.35">
      <c r="B151" s="75" t="s">
        <v>245</v>
      </c>
      <c r="C151" s="21"/>
      <c r="D151" s="135">
        <f>'13W Cash Flow'!D$6</f>
        <v>1</v>
      </c>
      <c r="E151" s="135">
        <f>'13W Cash Flow'!E$6</f>
        <v>2</v>
      </c>
      <c r="F151" s="135">
        <f>'13W Cash Flow'!F$6</f>
        <v>3</v>
      </c>
      <c r="G151" s="135">
        <f>'13W Cash Flow'!G$6</f>
        <v>4</v>
      </c>
      <c r="H151" s="135">
        <f>'13W Cash Flow'!H$6</f>
        <v>5</v>
      </c>
      <c r="I151" s="135">
        <f>'13W Cash Flow'!I$6</f>
        <v>6</v>
      </c>
      <c r="J151" s="135">
        <f>'13W Cash Flow'!J$6</f>
        <v>7</v>
      </c>
      <c r="K151" s="135">
        <f>'13W Cash Flow'!K$6</f>
        <v>8</v>
      </c>
      <c r="L151" s="135">
        <f>'13W Cash Flow'!L$6</f>
        <v>9</v>
      </c>
      <c r="M151" s="135">
        <f>'13W Cash Flow'!M$6</f>
        <v>10</v>
      </c>
      <c r="N151" s="135">
        <f>'13W Cash Flow'!N$6</f>
        <v>11</v>
      </c>
      <c r="O151" s="135">
        <f>'13W Cash Flow'!O$6</f>
        <v>12</v>
      </c>
      <c r="P151" s="135">
        <f>'13W Cash Flow'!P$6</f>
        <v>13</v>
      </c>
      <c r="Q151" s="3"/>
    </row>
    <row r="152" spans="2:17" ht="13.5" customHeight="1" x14ac:dyDescent="0.35">
      <c r="B152" s="75" t="s">
        <v>519</v>
      </c>
      <c r="C152" s="59" t="s">
        <v>520</v>
      </c>
      <c r="D152" s="135">
        <f t="shared" ref="D152:P152" si="25">IF(OR($F$14=0,D$151&lt;=$F$14),1,0)</f>
        <v>1</v>
      </c>
      <c r="E152" s="135">
        <f t="shared" si="25"/>
        <v>1</v>
      </c>
      <c r="F152" s="135">
        <f t="shared" si="25"/>
        <v>1</v>
      </c>
      <c r="G152" s="135">
        <f t="shared" si="25"/>
        <v>1</v>
      </c>
      <c r="H152" s="135">
        <f t="shared" si="25"/>
        <v>0</v>
      </c>
      <c r="I152" s="135">
        <f t="shared" si="25"/>
        <v>0</v>
      </c>
      <c r="J152" s="135">
        <f t="shared" si="25"/>
        <v>0</v>
      </c>
      <c r="K152" s="135">
        <f t="shared" si="25"/>
        <v>0</v>
      </c>
      <c r="L152" s="135">
        <f t="shared" si="25"/>
        <v>0</v>
      </c>
      <c r="M152" s="135">
        <f t="shared" si="25"/>
        <v>0</v>
      </c>
      <c r="N152" s="135">
        <f t="shared" si="25"/>
        <v>0</v>
      </c>
      <c r="O152" s="135">
        <f t="shared" si="25"/>
        <v>0</v>
      </c>
      <c r="P152" s="135">
        <f t="shared" si="25"/>
        <v>0</v>
      </c>
      <c r="Q152" s="3"/>
    </row>
    <row r="153" spans="2:17" ht="13.5" customHeight="1" x14ac:dyDescent="0.35">
      <c r="B153" s="75" t="s">
        <v>386</v>
      </c>
      <c r="C153" s="59" t="s">
        <v>521</v>
      </c>
      <c r="D153" s="80">
        <f>'13W Cash Flow'!D$73*(1+$F$7)*D152</f>
        <v>18127.899999999998</v>
      </c>
      <c r="E153" s="80">
        <f>'13W Cash Flow'!E$73*(1+$F$7)*E152</f>
        <v>20608.559999999998</v>
      </c>
      <c r="F153" s="80">
        <f>'13W Cash Flow'!F$73*(1+$F$7)*F152</f>
        <v>17555.439999999999</v>
      </c>
      <c r="G153" s="80">
        <f>'13W Cash Flow'!G$73*(1+$F$7)*G152</f>
        <v>17173.8</v>
      </c>
      <c r="H153" s="80">
        <f>'13W Cash Flow'!H$73*(1+$F$7)*H152</f>
        <v>0</v>
      </c>
      <c r="I153" s="80">
        <f>'13W Cash Flow'!I$73*(1+$F$7)*I152</f>
        <v>0</v>
      </c>
      <c r="J153" s="80">
        <f>'13W Cash Flow'!J$73*(1+$F$7)*J152</f>
        <v>0</v>
      </c>
      <c r="K153" s="80">
        <f>'13W Cash Flow'!K$73*(1+$F$7)*K152</f>
        <v>0</v>
      </c>
      <c r="L153" s="80">
        <f>'13W Cash Flow'!L$73*(1+$F$7)*L152</f>
        <v>0</v>
      </c>
      <c r="M153" s="80">
        <f>'13W Cash Flow'!M$73*(1+$F$7)*M152</f>
        <v>0</v>
      </c>
      <c r="N153" s="80">
        <f>'13W Cash Flow'!N$73*(1+$F$7)*N152</f>
        <v>0</v>
      </c>
      <c r="O153" s="80">
        <f>'13W Cash Flow'!O$73*(1+$F$7)*O152</f>
        <v>0</v>
      </c>
      <c r="P153" s="80">
        <f>'13W Cash Flow'!P$73*(1+$F$7)*P152</f>
        <v>0</v>
      </c>
      <c r="Q153" s="80">
        <f t="shared" ref="Q153:Q176" si="26">SUM(D153:P153)</f>
        <v>73465.7</v>
      </c>
    </row>
    <row r="154" spans="2:17" ht="13.5" customHeight="1" x14ac:dyDescent="0.35">
      <c r="B154" s="75" t="s">
        <v>478</v>
      </c>
      <c r="C154" s="59" t="s">
        <v>522</v>
      </c>
      <c r="D154" s="80">
        <f>'13W Cash Flow'!D$74*(1+$F$11)+'13W Cash Flow'!D$73*(1-D152)*$F$12</f>
        <v>20913.2</v>
      </c>
      <c r="E154" s="80">
        <f>'13W Cash Flow'!E$74*(1+$F$11)+'13W Cash Flow'!E$73*(1-E152)*$F$12</f>
        <v>22638</v>
      </c>
      <c r="F154" s="80">
        <f>'13W Cash Flow'!F$74*(1+$F$11)+'13W Cash Flow'!F$73*(1-F152)*$F$12</f>
        <v>20697.599999999999</v>
      </c>
      <c r="G154" s="80">
        <f>'13W Cash Flow'!G$74*(1+$F$11)+'13W Cash Flow'!G$73*(1-G152)*$F$12</f>
        <v>20482</v>
      </c>
      <c r="H154" s="80">
        <f>'13W Cash Flow'!H$74*(1+$F$11)+'13W Cash Flow'!H$73*(1-H152)*$F$12</f>
        <v>25780.965</v>
      </c>
      <c r="I154" s="80">
        <f>'13W Cash Flow'!I$74*(1+$F$11)+'13W Cash Flow'!I$73*(1-I152)*$F$12</f>
        <v>26618.584999999999</v>
      </c>
      <c r="J154" s="80">
        <f>'13W Cash Flow'!J$74*(1+$F$11)+'13W Cash Flow'!J$73*(1-J152)*$F$12</f>
        <v>27192.9</v>
      </c>
      <c r="K154" s="80">
        <f>'13W Cash Flow'!K$74*(1+$F$11)+'13W Cash Flow'!K$73*(1-K152)*$F$12</f>
        <v>27719.51</v>
      </c>
      <c r="L154" s="80">
        <f>'13W Cash Flow'!L$74*(1+$F$11)+'13W Cash Flow'!L$73*(1-L152)*$F$12</f>
        <v>27313.09</v>
      </c>
      <c r="M154" s="80">
        <f>'13W Cash Flow'!M$74*(1+$F$11)+'13W Cash Flow'!M$73*(1-M152)*$F$12</f>
        <v>28198.415000000001</v>
      </c>
      <c r="N154" s="80">
        <f>'13W Cash Flow'!N$74*(1+$F$11)+'13W Cash Flow'!N$73*(1-N152)*$F$12</f>
        <v>29203.930000000004</v>
      </c>
      <c r="O154" s="80">
        <f>'13W Cash Flow'!O$74*(1+$F$11)+'13W Cash Flow'!O$73*(1-O152)*$F$12</f>
        <v>30041.549999999996</v>
      </c>
      <c r="P154" s="80">
        <f>'13W Cash Flow'!P$74*(1+$F$11)+'13W Cash Flow'!P$73*(1-P152)*$F$12</f>
        <v>31310.37</v>
      </c>
      <c r="Q154" s="80">
        <f t="shared" si="26"/>
        <v>338110.11499999999</v>
      </c>
    </row>
    <row r="155" spans="2:17" ht="13.5" customHeight="1" x14ac:dyDescent="0.35">
      <c r="B155" s="75" t="s">
        <v>479</v>
      </c>
      <c r="C155" s="59" t="s">
        <v>523</v>
      </c>
      <c r="D155" s="80">
        <f>'13W Cash Flow'!D$75</f>
        <v>0</v>
      </c>
      <c r="E155" s="80">
        <f>'13W Cash Flow'!E$75</f>
        <v>23280</v>
      </c>
      <c r="F155" s="80">
        <f>'13W Cash Flow'!F$75</f>
        <v>0</v>
      </c>
      <c r="G155" s="80">
        <f>'13W Cash Flow'!G$75</f>
        <v>0</v>
      </c>
      <c r="H155" s="80">
        <f>'13W Cash Flow'!H$75</f>
        <v>0</v>
      </c>
      <c r="I155" s="80">
        <f>'13W Cash Flow'!I$75</f>
        <v>0</v>
      </c>
      <c r="J155" s="80">
        <f>'13W Cash Flow'!J$75</f>
        <v>18624</v>
      </c>
      <c r="K155" s="80">
        <f>'13W Cash Flow'!K$75</f>
        <v>0</v>
      </c>
      <c r="L155" s="80">
        <f>'13W Cash Flow'!L$75</f>
        <v>0</v>
      </c>
      <c r="M155" s="80">
        <f>'13W Cash Flow'!M$75</f>
        <v>0</v>
      </c>
      <c r="N155" s="80">
        <f>'13W Cash Flow'!N$75</f>
        <v>32592</v>
      </c>
      <c r="O155" s="80">
        <f>'13W Cash Flow'!O$75</f>
        <v>0</v>
      </c>
      <c r="P155" s="80">
        <f>'13W Cash Flow'!P$75</f>
        <v>25608.000000000004</v>
      </c>
      <c r="Q155" s="80">
        <f t="shared" si="26"/>
        <v>100104</v>
      </c>
    </row>
    <row r="156" spans="2:17" ht="13.5" customHeight="1" x14ac:dyDescent="0.35">
      <c r="B156" s="75" t="s">
        <v>480</v>
      </c>
      <c r="C156" s="59" t="s">
        <v>523</v>
      </c>
      <c r="D156" s="80">
        <f>'13W Cash Flow'!D$76</f>
        <v>7536</v>
      </c>
      <c r="E156" s="80">
        <f>'13W Cash Flow'!E$76</f>
        <v>7850</v>
      </c>
      <c r="F156" s="80">
        <f>'13W Cash Flow'!F$76</f>
        <v>7457.5</v>
      </c>
      <c r="G156" s="80">
        <f>'13W Cash Flow'!G$76</f>
        <v>7379</v>
      </c>
      <c r="H156" s="80">
        <f>'13W Cash Flow'!H$76</f>
        <v>7614.5</v>
      </c>
      <c r="I156" s="80">
        <f>'13W Cash Flow'!I$76</f>
        <v>7850</v>
      </c>
      <c r="J156" s="80">
        <f>'13W Cash Flow'!J$76</f>
        <v>8007</v>
      </c>
      <c r="K156" s="80">
        <f>'13W Cash Flow'!K$76</f>
        <v>8085.5</v>
      </c>
      <c r="L156" s="80">
        <f>'13W Cash Flow'!L$76</f>
        <v>7928.5</v>
      </c>
      <c r="M156" s="80">
        <f>'13W Cash Flow'!M$76</f>
        <v>8242.5</v>
      </c>
      <c r="N156" s="80">
        <f>'13W Cash Flow'!N$76</f>
        <v>8478</v>
      </c>
      <c r="O156" s="80">
        <f>'13W Cash Flow'!O$76</f>
        <v>8635</v>
      </c>
      <c r="P156" s="80">
        <f>'13W Cash Flow'!P$76</f>
        <v>8792</v>
      </c>
      <c r="Q156" s="80">
        <f t="shared" si="26"/>
        <v>103855.5</v>
      </c>
    </row>
    <row r="157" spans="2:17" ht="13.5" customHeight="1" x14ac:dyDescent="0.35">
      <c r="B157" s="78" t="s">
        <v>326</v>
      </c>
      <c r="C157" s="21"/>
      <c r="D157" s="136">
        <f t="shared" ref="D157:P157" si="27">SUM(D153:D156)</f>
        <v>46577.1</v>
      </c>
      <c r="E157" s="136">
        <f t="shared" si="27"/>
        <v>74376.56</v>
      </c>
      <c r="F157" s="136">
        <f t="shared" si="27"/>
        <v>45710.539999999994</v>
      </c>
      <c r="G157" s="136">
        <f t="shared" si="27"/>
        <v>45034.8</v>
      </c>
      <c r="H157" s="136">
        <f t="shared" si="27"/>
        <v>33395.464999999997</v>
      </c>
      <c r="I157" s="136">
        <f t="shared" si="27"/>
        <v>34468.584999999999</v>
      </c>
      <c r="J157" s="136">
        <f t="shared" si="27"/>
        <v>53823.9</v>
      </c>
      <c r="K157" s="136">
        <f t="shared" si="27"/>
        <v>35805.009999999995</v>
      </c>
      <c r="L157" s="136">
        <f t="shared" si="27"/>
        <v>35241.589999999997</v>
      </c>
      <c r="M157" s="136">
        <f t="shared" si="27"/>
        <v>36440.915000000001</v>
      </c>
      <c r="N157" s="136">
        <f t="shared" si="27"/>
        <v>70273.930000000008</v>
      </c>
      <c r="O157" s="136">
        <f t="shared" si="27"/>
        <v>38676.549999999996</v>
      </c>
      <c r="P157" s="136">
        <f t="shared" si="27"/>
        <v>65710.37</v>
      </c>
      <c r="Q157" s="136">
        <f t="shared" si="26"/>
        <v>615535.31500000006</v>
      </c>
    </row>
    <row r="158" spans="2:17" ht="13.5" customHeight="1" x14ac:dyDescent="0.35">
      <c r="B158" s="75" t="s">
        <v>328</v>
      </c>
      <c r="C158" s="21"/>
      <c r="D158" s="80">
        <f>D153*(1-Assumptions!$C$28-$F$8)+D154*(1-Assumptions!$C$29)+D155*(1-Assumptions!$C$30)+D156*(1-Assumptions!$C$31)</f>
        <v>18993.398000000001</v>
      </c>
      <c r="E158" s="80">
        <f>E153*(1-Assumptions!$C$28-$F$8)+E154*(1-Assumptions!$C$29)+E155*(1-Assumptions!$C$30)+E156*(1-Assumptions!$C$31)</f>
        <v>29231.5952</v>
      </c>
      <c r="F158" s="80">
        <f>F153*(1-Assumptions!$C$28-$F$8)+F154*(1-Assumptions!$C$29)+F155*(1-Assumptions!$C$30)+F156*(1-Assumptions!$C$31)</f>
        <v>18635.324799999999</v>
      </c>
      <c r="G158" s="80">
        <f>G153*(1-Assumptions!$C$28-$F$8)+G154*(1-Assumptions!$C$29)+G155*(1-Assumptions!$C$30)+G156*(1-Assumptions!$C$31)</f>
        <v>18357.396000000001</v>
      </c>
      <c r="H158" s="80">
        <f>H153*(1-Assumptions!$C$28-$F$8)+H154*(1-Assumptions!$C$29)+H155*(1-Assumptions!$C$30)+H156*(1-Assumptions!$C$31)</f>
        <v>13358.186000000002</v>
      </c>
      <c r="I158" s="80">
        <f>I153*(1-Assumptions!$C$28-$F$8)+I154*(1-Assumptions!$C$29)+I155*(1-Assumptions!$C$30)+I156*(1-Assumptions!$C$31)</f>
        <v>13787.434000000001</v>
      </c>
      <c r="J158" s="80">
        <f>J153*(1-Assumptions!$C$28-$F$8)+J154*(1-Assumptions!$C$29)+J155*(1-Assumptions!$C$30)+J156*(1-Assumptions!$C$31)</f>
        <v>20784.600000000002</v>
      </c>
      <c r="K158" s="80">
        <f>K153*(1-Assumptions!$C$28-$F$8)+K154*(1-Assumptions!$C$29)+K155*(1-Assumptions!$C$30)+K156*(1-Assumptions!$C$31)</f>
        <v>14322.004000000001</v>
      </c>
      <c r="L158" s="80">
        <f>L153*(1-Assumptions!$C$28-$F$8)+L154*(1-Assumptions!$C$29)+L155*(1-Assumptions!$C$30)+L156*(1-Assumptions!$C$31)</f>
        <v>14096.636</v>
      </c>
      <c r="M158" s="80">
        <f>M153*(1-Assumptions!$C$28-$F$8)+M154*(1-Assumptions!$C$29)+M155*(1-Assumptions!$C$30)+M156*(1-Assumptions!$C$31)</f>
        <v>14576.366000000002</v>
      </c>
      <c r="N158" s="80">
        <f>N153*(1-Assumptions!$C$28-$F$8)+N154*(1-Assumptions!$C$29)+N155*(1-Assumptions!$C$30)+N156*(1-Assumptions!$C$31)</f>
        <v>26805.892000000003</v>
      </c>
      <c r="O158" s="80">
        <f>O153*(1-Assumptions!$C$28-$F$8)+O154*(1-Assumptions!$C$29)+O155*(1-Assumptions!$C$30)+O156*(1-Assumptions!$C$31)</f>
        <v>15470.619999999999</v>
      </c>
      <c r="P158" s="80">
        <f>P153*(1-Assumptions!$C$28-$F$8)+P154*(1-Assumptions!$C$29)+P155*(1-Assumptions!$C$30)+P156*(1-Assumptions!$C$31)</f>
        <v>25259.828000000001</v>
      </c>
      <c r="Q158" s="80">
        <f t="shared" si="26"/>
        <v>243679.28000000003</v>
      </c>
    </row>
    <row r="159" spans="2:17" ht="13.5" customHeight="1" x14ac:dyDescent="0.35">
      <c r="B159" s="75" t="s">
        <v>524</v>
      </c>
      <c r="C159" s="59" t="s">
        <v>252</v>
      </c>
      <c r="D159" s="80">
        <f>D153*Assumptions!$C$67+IF(D151=1,Assumptions!$C$72,INDEX($D$153:$P$153,1,D151-1)*(1-Assumptions!$C$67))</f>
        <v>18197.667999999998</v>
      </c>
      <c r="E159" s="80">
        <f>E153*Assumptions!$C$67+IF(E151=1,Assumptions!$C$72,INDEX($D$153:$P$153,1,E151-1)*(1-Assumptions!$C$67))</f>
        <v>20410.107199999999</v>
      </c>
      <c r="F159" s="80">
        <f>F153*Assumptions!$C$67+IF(F151=1,Assumptions!$C$72,INDEX($D$153:$P$153,1,F151-1)*(1-Assumptions!$C$67))</f>
        <v>17799.689599999998</v>
      </c>
      <c r="G159" s="80">
        <f>G153*Assumptions!$C$67+IF(G151=1,Assumptions!$C$72,INDEX($D$153:$P$153,1,G151-1)*(1-Assumptions!$C$67))</f>
        <v>17204.331200000001</v>
      </c>
      <c r="H159" s="80">
        <f>H153*Assumptions!$C$67+IF(H151=1,Assumptions!$C$72,INDEX($D$153:$P$153,1,H151-1)*(1-Assumptions!$C$67))</f>
        <v>1373.9039999999993</v>
      </c>
      <c r="I159" s="80">
        <f>I153*Assumptions!$C$67+IF(I151=1,Assumptions!$C$72,INDEX($D$153:$P$153,1,I151-1)*(1-Assumptions!$C$67))</f>
        <v>0</v>
      </c>
      <c r="J159" s="80">
        <f>J153*Assumptions!$C$67+IF(J151=1,Assumptions!$C$72,INDEX($D$153:$P$153,1,J151-1)*(1-Assumptions!$C$67))</f>
        <v>0</v>
      </c>
      <c r="K159" s="80">
        <f>K153*Assumptions!$C$67+IF(K151=1,Assumptions!$C$72,INDEX($D$153:$P$153,1,K151-1)*(1-Assumptions!$C$67))</f>
        <v>0</v>
      </c>
      <c r="L159" s="80">
        <f>L153*Assumptions!$C$67+IF(L151=1,Assumptions!$C$72,INDEX($D$153:$P$153,1,L151-1)*(1-Assumptions!$C$67))</f>
        <v>0</v>
      </c>
      <c r="M159" s="80">
        <f>M153*Assumptions!$C$67+IF(M151=1,Assumptions!$C$72,INDEX($D$153:$P$153,1,M151-1)*(1-Assumptions!$C$67))</f>
        <v>0</v>
      </c>
      <c r="N159" s="80">
        <f>N153*Assumptions!$C$67+IF(N151=1,Assumptions!$C$72,INDEX($D$153:$P$153,1,N151-1)*(1-Assumptions!$C$67))</f>
        <v>0</v>
      </c>
      <c r="O159" s="80">
        <f>O153*Assumptions!$C$67+IF(O151=1,Assumptions!$C$72,INDEX($D$153:$P$153,1,O151-1)*(1-Assumptions!$C$67))</f>
        <v>0</v>
      </c>
      <c r="P159" s="80">
        <f>P153*Assumptions!$C$67+IF(P151=1,Assumptions!$C$72,INDEX($D$153:$P$153,1,P151-1)*(1-Assumptions!$C$67))</f>
        <v>0</v>
      </c>
      <c r="Q159" s="80">
        <f t="shared" si="26"/>
        <v>74985.7</v>
      </c>
    </row>
    <row r="160" spans="2:17" ht="13.5" customHeight="1" x14ac:dyDescent="0.35">
      <c r="B160" s="75" t="s">
        <v>253</v>
      </c>
      <c r="C160" s="59" t="s">
        <v>254</v>
      </c>
      <c r="D160" s="80">
        <f>D154*Assumptions!$C$68+IF(D151=1,Assumptions!$C$73,INDEX($D$154:$P$154,1,D151-1)*(1-Assumptions!$C$68))</f>
        <v>21016.22</v>
      </c>
      <c r="E160" s="80">
        <f>E154*Assumptions!$C$68+IF(E151=1,Assumptions!$C$73,INDEX($D$154:$P$154,1,E151-1)*(1-Assumptions!$C$68))</f>
        <v>22379.279999999999</v>
      </c>
      <c r="F160" s="80">
        <f>F154*Assumptions!$C$68+IF(F151=1,Assumptions!$C$73,INDEX($D$154:$P$154,1,F151-1)*(1-Assumptions!$C$68))</f>
        <v>20988.66</v>
      </c>
      <c r="G160" s="80">
        <f>G154*Assumptions!$C$68+IF(G151=1,Assumptions!$C$73,INDEX($D$154:$P$154,1,G151-1)*(1-Assumptions!$C$68))</f>
        <v>20514.34</v>
      </c>
      <c r="H160" s="80">
        <f>H154*Assumptions!$C$68+IF(H151=1,Assumptions!$C$73,INDEX($D$154:$P$154,1,H151-1)*(1-Assumptions!$C$68))</f>
        <v>24986.12025</v>
      </c>
      <c r="I160" s="80">
        <f>I154*Assumptions!$C$68+IF(I151=1,Assumptions!$C$73,INDEX($D$154:$P$154,1,I151-1)*(1-Assumptions!$C$68))</f>
        <v>26492.941999999999</v>
      </c>
      <c r="J160" s="80">
        <f>J154*Assumptions!$C$68+IF(J151=1,Assumptions!$C$73,INDEX($D$154:$P$154,1,J151-1)*(1-Assumptions!$C$68))</f>
        <v>27106.75275</v>
      </c>
      <c r="K160" s="80">
        <f>K154*Assumptions!$C$68+IF(K151=1,Assumptions!$C$73,INDEX($D$154:$P$154,1,K151-1)*(1-Assumptions!$C$68))</f>
        <v>27640.518499999998</v>
      </c>
      <c r="L160" s="80">
        <f>L154*Assumptions!$C$68+IF(L151=1,Assumptions!$C$73,INDEX($D$154:$P$154,1,L151-1)*(1-Assumptions!$C$68))</f>
        <v>27374.053</v>
      </c>
      <c r="M160" s="80">
        <f>M154*Assumptions!$C$68+IF(M151=1,Assumptions!$C$73,INDEX($D$154:$P$154,1,M151-1)*(1-Assumptions!$C$68))</f>
        <v>28065.616250000003</v>
      </c>
      <c r="N160" s="80">
        <f>N154*Assumptions!$C$68+IF(N151=1,Assumptions!$C$73,INDEX($D$154:$P$154,1,N151-1)*(1-Assumptions!$C$68))</f>
        <v>29053.102750000002</v>
      </c>
      <c r="O160" s="80">
        <f>O154*Assumptions!$C$68+IF(O151=1,Assumptions!$C$73,INDEX($D$154:$P$154,1,O151-1)*(1-Assumptions!$C$68))</f>
        <v>29915.906999999999</v>
      </c>
      <c r="P160" s="80">
        <f>P154*Assumptions!$C$68+IF(P151=1,Assumptions!$C$73,INDEX($D$154:$P$154,1,P151-1)*(1-Assumptions!$C$68))</f>
        <v>31120.046999999999</v>
      </c>
      <c r="Q160" s="80">
        <f t="shared" si="26"/>
        <v>336653.55950000003</v>
      </c>
    </row>
    <row r="161" spans="2:17" ht="13.5" customHeight="1" x14ac:dyDescent="0.35">
      <c r="B161" s="75" t="s">
        <v>255</v>
      </c>
      <c r="C161" s="59" t="s">
        <v>256</v>
      </c>
      <c r="D161" s="80">
        <f>D155*Assumptions!$C$69+IF(D151=1,0,INDEX($D$155:$P$155,1,D151-1)*(1-Assumptions!$C$69))</f>
        <v>0</v>
      </c>
      <c r="E161" s="80">
        <f>E155*Assumptions!$C$69+IF(E151=1,0,INDEX($D$155:$P$155,1,E151-1)*(1-Assumptions!$C$69))</f>
        <v>23280</v>
      </c>
      <c r="F161" s="80">
        <f>F155*Assumptions!$C$69+IF(F151=1,0,INDEX($D$155:$P$155,1,F151-1)*(1-Assumptions!$C$69))</f>
        <v>0</v>
      </c>
      <c r="G161" s="80">
        <f>G155*Assumptions!$C$69+IF(G151=1,0,INDEX($D$155:$P$155,1,G151-1)*(1-Assumptions!$C$69))</f>
        <v>0</v>
      </c>
      <c r="H161" s="80">
        <f>H155*Assumptions!$C$69+IF(H151=1,0,INDEX($D$155:$P$155,1,H151-1)*(1-Assumptions!$C$69))</f>
        <v>0</v>
      </c>
      <c r="I161" s="80">
        <f>I155*Assumptions!$C$69+IF(I151=1,0,INDEX($D$155:$P$155,1,I151-1)*(1-Assumptions!$C$69))</f>
        <v>0</v>
      </c>
      <c r="J161" s="80">
        <f>J155*Assumptions!$C$69+IF(J151=1,0,INDEX($D$155:$P$155,1,J151-1)*(1-Assumptions!$C$69))</f>
        <v>18624</v>
      </c>
      <c r="K161" s="80">
        <f>K155*Assumptions!$C$69+IF(K151=1,0,INDEX($D$155:$P$155,1,K151-1)*(1-Assumptions!$C$69))</f>
        <v>0</v>
      </c>
      <c r="L161" s="80">
        <f>L155*Assumptions!$C$69+IF(L151=1,0,INDEX($D$155:$P$155,1,L151-1)*(1-Assumptions!$C$69))</f>
        <v>0</v>
      </c>
      <c r="M161" s="80">
        <f>M155*Assumptions!$C$69+IF(M151=1,0,INDEX($D$155:$P$155,1,M151-1)*(1-Assumptions!$C$69))</f>
        <v>0</v>
      </c>
      <c r="N161" s="80">
        <f>N155*Assumptions!$C$69+IF(N151=1,0,INDEX($D$155:$P$155,1,N151-1)*(1-Assumptions!$C$69))</f>
        <v>32592</v>
      </c>
      <c r="O161" s="80">
        <f>O155*Assumptions!$C$69+IF(O151=1,0,INDEX($D$155:$P$155,1,O151-1)*(1-Assumptions!$C$69))</f>
        <v>0</v>
      </c>
      <c r="P161" s="80">
        <f>P155*Assumptions!$C$69+IF(P151=1,0,INDEX($D$155:$P$155,1,P151-1)*(1-Assumptions!$C$69))</f>
        <v>25608.000000000004</v>
      </c>
      <c r="Q161" s="80">
        <f t="shared" si="26"/>
        <v>100104</v>
      </c>
    </row>
    <row r="162" spans="2:17" ht="13.5" customHeight="1" x14ac:dyDescent="0.35">
      <c r="B162" s="75" t="s">
        <v>525</v>
      </c>
      <c r="C162" s="59" t="s">
        <v>258</v>
      </c>
      <c r="D162" s="80">
        <f>IF(D151&lt;=Assumptions!$C$70,Assumptions!$C$74/Assumptions!$C$70,INDEX($D$156:$P$156,1,D151-Assumptions!$C$70)*(1-Assumptions!$C$42))</f>
        <v>5495</v>
      </c>
      <c r="E162" s="80">
        <f>IF(E151&lt;=Assumptions!$C$70,Assumptions!$C$74/Assumptions!$C$70,INDEX($D$156:$P$156,1,E151-Assumptions!$C$70)*(1-Assumptions!$C$42))</f>
        <v>5495</v>
      </c>
      <c r="F162" s="80">
        <f>IF(F151&lt;=Assumptions!$C$70,Assumptions!$C$74/Assumptions!$C$70,INDEX($D$156:$P$156,1,F151-Assumptions!$C$70)*(1-Assumptions!$C$42))</f>
        <v>5495</v>
      </c>
      <c r="G162" s="80">
        <f>IF(G151&lt;=Assumptions!$C$70,Assumptions!$C$74/Assumptions!$C$70,INDEX($D$156:$P$156,1,G151-Assumptions!$C$70)*(1-Assumptions!$C$42))</f>
        <v>5495</v>
      </c>
      <c r="H162" s="80">
        <f>IF(H151&lt;=Assumptions!$C$70,Assumptions!$C$74/Assumptions!$C$70,INDEX($D$156:$P$156,1,H151-Assumptions!$C$70)*(1-Assumptions!$C$42))</f>
        <v>5275.2</v>
      </c>
      <c r="I162" s="80">
        <f>IF(I151&lt;=Assumptions!$C$70,Assumptions!$C$74/Assumptions!$C$70,INDEX($D$156:$P$156,1,I151-Assumptions!$C$70)*(1-Assumptions!$C$42))</f>
        <v>5495</v>
      </c>
      <c r="J162" s="80">
        <f>IF(J151&lt;=Assumptions!$C$70,Assumptions!$C$74/Assumptions!$C$70,INDEX($D$156:$P$156,1,J151-Assumptions!$C$70)*(1-Assumptions!$C$42))</f>
        <v>5220.25</v>
      </c>
      <c r="K162" s="80">
        <f>IF(K151&lt;=Assumptions!$C$70,Assumptions!$C$74/Assumptions!$C$70,INDEX($D$156:$P$156,1,K151-Assumptions!$C$70)*(1-Assumptions!$C$42))</f>
        <v>5165.2999999999993</v>
      </c>
      <c r="L162" s="80">
        <f>IF(L151&lt;=Assumptions!$C$70,Assumptions!$C$74/Assumptions!$C$70,INDEX($D$156:$P$156,1,L151-Assumptions!$C$70)*(1-Assumptions!$C$42))</f>
        <v>5330.15</v>
      </c>
      <c r="M162" s="80">
        <f>IF(M151&lt;=Assumptions!$C$70,Assumptions!$C$74/Assumptions!$C$70,INDEX($D$156:$P$156,1,M151-Assumptions!$C$70)*(1-Assumptions!$C$42))</f>
        <v>5495</v>
      </c>
      <c r="N162" s="80">
        <f>IF(N151&lt;=Assumptions!$C$70,Assumptions!$C$74/Assumptions!$C$70,INDEX($D$156:$P$156,1,N151-Assumptions!$C$70)*(1-Assumptions!$C$42))</f>
        <v>5604.9</v>
      </c>
      <c r="O162" s="80">
        <f>IF(O151&lt;=Assumptions!$C$70,Assumptions!$C$74/Assumptions!$C$70,INDEX($D$156:$P$156,1,O151-Assumptions!$C$70)*(1-Assumptions!$C$42))</f>
        <v>5659.8499999999995</v>
      </c>
      <c r="P162" s="80">
        <f>IF(P151&lt;=Assumptions!$C$70,Assumptions!$C$74/Assumptions!$C$70,INDEX($D$156:$P$156,1,P151-Assumptions!$C$70)*(1-Assumptions!$C$42))</f>
        <v>5549.95</v>
      </c>
      <c r="Q162" s="80">
        <f t="shared" si="26"/>
        <v>70775.600000000006</v>
      </c>
    </row>
    <row r="163" spans="2:17" ht="13.5" customHeight="1" x14ac:dyDescent="0.35">
      <c r="B163" s="75" t="s">
        <v>526</v>
      </c>
      <c r="C163" s="59" t="s">
        <v>260</v>
      </c>
      <c r="D163" s="80">
        <f>IF(D151=$F$20,$F$19,0)+IF(D151=Assumptions!$C$125,Assumptions!$C$124,0)</f>
        <v>0</v>
      </c>
      <c r="E163" s="80">
        <f>IF(E151=$F$20,$F$19,0)+IF(E151=Assumptions!$C$125,Assumptions!$C$124,0)</f>
        <v>0</v>
      </c>
      <c r="F163" s="80">
        <f>IF(F151=$F$20,$F$19,0)+IF(F151=Assumptions!$C$125,Assumptions!$C$124,0)</f>
        <v>0</v>
      </c>
      <c r="G163" s="80">
        <f>IF(G151=$F$20,$F$19,0)+IF(G151=Assumptions!$C$125,Assumptions!$C$124,0)</f>
        <v>0</v>
      </c>
      <c r="H163" s="80">
        <f>IF(H151=$F$20,$F$19,0)+IF(H151=Assumptions!$C$125,Assumptions!$C$124,0)</f>
        <v>0</v>
      </c>
      <c r="I163" s="80">
        <f>IF(I151=$F$20,$F$19,0)+IF(I151=Assumptions!$C$125,Assumptions!$C$124,0)</f>
        <v>42000</v>
      </c>
      <c r="J163" s="80">
        <f>IF(J151=$F$20,$F$19,0)+IF(J151=Assumptions!$C$125,Assumptions!$C$124,0)</f>
        <v>0</v>
      </c>
      <c r="K163" s="80">
        <f>IF(K151=$F$20,$F$19,0)+IF(K151=Assumptions!$C$125,Assumptions!$C$124,0)</f>
        <v>0</v>
      </c>
      <c r="L163" s="80">
        <f>IF(L151=$F$20,$F$19,0)+IF(L151=Assumptions!$C$125,Assumptions!$C$124,0)</f>
        <v>0</v>
      </c>
      <c r="M163" s="80">
        <f>IF(M151=$F$20,$F$19,0)+IF(M151=Assumptions!$C$125,Assumptions!$C$124,0)</f>
        <v>0</v>
      </c>
      <c r="N163" s="80">
        <f>IF(N151=$F$20,$F$19,0)+IF(N151=Assumptions!$C$125,Assumptions!$C$124,0)</f>
        <v>0</v>
      </c>
      <c r="O163" s="80">
        <f>IF(O151=$F$20,$F$19,0)+IF(O151=Assumptions!$C$125,Assumptions!$C$124,0)</f>
        <v>0</v>
      </c>
      <c r="P163" s="80">
        <f>IF(P151=$F$20,$F$19,0)+IF(P151=Assumptions!$C$125,Assumptions!$C$124,0)</f>
        <v>0</v>
      </c>
      <c r="Q163" s="80">
        <f t="shared" si="26"/>
        <v>42000</v>
      </c>
    </row>
    <row r="164" spans="2:17" ht="13.5" customHeight="1" x14ac:dyDescent="0.35">
      <c r="B164" s="78" t="s">
        <v>261</v>
      </c>
      <c r="C164" s="21"/>
      <c r="D164" s="136">
        <f t="shared" ref="D164:P164" si="28">SUM(D159:D163)</f>
        <v>44708.887999999999</v>
      </c>
      <c r="E164" s="136">
        <f t="shared" si="28"/>
        <v>71564.387199999997</v>
      </c>
      <c r="F164" s="136">
        <f t="shared" si="28"/>
        <v>44283.349600000001</v>
      </c>
      <c r="G164" s="136">
        <f t="shared" si="28"/>
        <v>43213.671199999997</v>
      </c>
      <c r="H164" s="136">
        <f t="shared" si="28"/>
        <v>31635.224249999999</v>
      </c>
      <c r="I164" s="136">
        <f t="shared" si="28"/>
        <v>73987.941999999995</v>
      </c>
      <c r="J164" s="136">
        <f t="shared" si="28"/>
        <v>50951.00275</v>
      </c>
      <c r="K164" s="136">
        <f t="shared" si="28"/>
        <v>32805.818499999994</v>
      </c>
      <c r="L164" s="136">
        <f t="shared" si="28"/>
        <v>32704.203000000001</v>
      </c>
      <c r="M164" s="136">
        <f t="shared" si="28"/>
        <v>33560.616250000006</v>
      </c>
      <c r="N164" s="136">
        <f t="shared" si="28"/>
        <v>67250.00275</v>
      </c>
      <c r="O164" s="136">
        <f t="shared" si="28"/>
        <v>35575.756999999998</v>
      </c>
      <c r="P164" s="136">
        <f t="shared" si="28"/>
        <v>62277.997000000003</v>
      </c>
      <c r="Q164" s="136">
        <f t="shared" si="26"/>
        <v>624518.8594999999</v>
      </c>
    </row>
    <row r="165" spans="2:17" ht="13.5" customHeight="1" x14ac:dyDescent="0.35">
      <c r="B165" s="75" t="s">
        <v>263</v>
      </c>
      <c r="C165" s="59" t="s">
        <v>527</v>
      </c>
      <c r="D165" s="80">
        <f>D158*Assumptions!$C$76*IF(D152=1,1,$F$21)+SUMIFS(Assumptions!$C$116:$C$119,Assumptions!$D$116:$D$119,D151)</f>
        <v>11016.170840000001</v>
      </c>
      <c r="E165" s="80">
        <f>E158*Assumptions!$C$76*IF(E152=1,1,$F$21)+SUMIFS(Assumptions!$C$116:$C$119,Assumptions!$D$116:$D$119,E151)</f>
        <v>70954.325215999997</v>
      </c>
      <c r="F165" s="80">
        <f>F158*Assumptions!$C$76*IF(F152=1,1,$F$21)+SUMIFS(Assumptions!$C$116:$C$119,Assumptions!$D$116:$D$119,F151)</f>
        <v>10808.488383999998</v>
      </c>
      <c r="G165" s="80">
        <f>G158*Assumptions!$C$76*IF(G152=1,1,$F$21)+SUMIFS(Assumptions!$C$116:$C$119,Assumptions!$D$116:$D$119,G151)</f>
        <v>10647.28968</v>
      </c>
      <c r="H165" s="80">
        <f>H158*Assumptions!$C$76*IF(H152=1,1,$F$21)+SUMIFS(Assumptions!$C$116:$C$119,Assumptions!$D$116:$D$119,H151)</f>
        <v>52198.198303999998</v>
      </c>
      <c r="I165" s="80">
        <f>I158*Assumptions!$C$76*IF(I152=1,1,$F$21)+SUMIFS(Assumptions!$C$116:$C$119,Assumptions!$D$116:$D$119,I151)</f>
        <v>6397.3693760000006</v>
      </c>
      <c r="J165" s="80">
        <f>J158*Assumptions!$C$76*IF(J152=1,1,$F$21)+SUMIFS(Assumptions!$C$116:$C$119,Assumptions!$D$116:$D$119,J151)</f>
        <v>9644.0544000000009</v>
      </c>
      <c r="K165" s="80">
        <f>K158*Assumptions!$C$76*IF(K152=1,1,$F$21)+SUMIFS(Assumptions!$C$116:$C$119,Assumptions!$D$116:$D$119,K151)</f>
        <v>88645.409855999998</v>
      </c>
      <c r="L165" s="80">
        <f>L158*Assumptions!$C$76*IF(L152=1,1,$F$21)+SUMIFS(Assumptions!$C$116:$C$119,Assumptions!$D$116:$D$119,L151)</f>
        <v>6540.8391039999997</v>
      </c>
      <c r="M165" s="80">
        <f>M158*Assumptions!$C$76*IF(M152=1,1,$F$21)+SUMIFS(Assumptions!$C$116:$C$119,Assumptions!$D$116:$D$119,M151)</f>
        <v>6763.4338239999997</v>
      </c>
      <c r="N165" s="80">
        <f>N158*Assumptions!$C$76*IF(N152=1,1,$F$21)+SUMIFS(Assumptions!$C$116:$C$119,Assumptions!$D$116:$D$119,N151)</f>
        <v>65437.933888</v>
      </c>
      <c r="O165" s="80">
        <f>O158*Assumptions!$C$76*IF(O152=1,1,$F$21)+SUMIFS(Assumptions!$C$116:$C$119,Assumptions!$D$116:$D$119,O151)</f>
        <v>7178.3676799999994</v>
      </c>
      <c r="P165" s="80">
        <f>P158*Assumptions!$C$76*IF(P152=1,1,$F$21)+SUMIFS(Assumptions!$C$116:$C$119,Assumptions!$D$116:$D$119,P151)</f>
        <v>11720.560192000001</v>
      </c>
      <c r="Q165" s="80">
        <f t="shared" si="26"/>
        <v>357952.44074400002</v>
      </c>
    </row>
    <row r="166" spans="2:17" ht="13.5" customHeight="1" x14ac:dyDescent="0.35">
      <c r="B166" s="75" t="s">
        <v>528</v>
      </c>
      <c r="C166" s="59" t="s">
        <v>161</v>
      </c>
      <c r="D166" s="80">
        <f>(Assumptions!$C$47*(1+$F$9)*D$185+Assumptions!$C$92)*'13W Cash Flow'!D$70</f>
        <v>0</v>
      </c>
      <c r="E166" s="80">
        <f>(Assumptions!$C$47*(1+$F$9)*E$185+Assumptions!$C$92)*'13W Cash Flow'!E$70</f>
        <v>0</v>
      </c>
      <c r="F166" s="80">
        <f>(Assumptions!$C$47*(1+$F$9)*F$185+Assumptions!$C$92)*'13W Cash Flow'!F$70</f>
        <v>0</v>
      </c>
      <c r="G166" s="80">
        <f>(Assumptions!$C$47*(1+$F$9)*G$185+Assumptions!$C$92)*'13W Cash Flow'!G$70</f>
        <v>0</v>
      </c>
      <c r="H166" s="80">
        <f>(Assumptions!$C$47*(1+$F$9)*H$185+Assumptions!$C$92)*'13W Cash Flow'!H$70</f>
        <v>44103.225806451614</v>
      </c>
      <c r="I166" s="80">
        <f>(Assumptions!$C$47*(1+$F$9)*I$185+Assumptions!$C$92)*'13W Cash Flow'!I$70</f>
        <v>0</v>
      </c>
      <c r="J166" s="80">
        <f>(Assumptions!$C$47*(1+$F$9)*J$185+Assumptions!$C$92)*'13W Cash Flow'!J$70</f>
        <v>0</v>
      </c>
      <c r="K166" s="80">
        <f>(Assumptions!$C$47*(1+$F$9)*K$185+Assumptions!$C$92)*'13W Cash Flow'!K$70</f>
        <v>0</v>
      </c>
      <c r="L166" s="80">
        <f>(Assumptions!$C$47*(1+$F$9)*L$185+Assumptions!$C$92)*'13W Cash Flow'!L$70</f>
        <v>26200</v>
      </c>
      <c r="M166" s="80">
        <f>(Assumptions!$C$47*(1+$F$9)*M$185+Assumptions!$C$92)*'13W Cash Flow'!M$70</f>
        <v>0</v>
      </c>
      <c r="N166" s="80">
        <f>(Assumptions!$C$47*(1+$F$9)*N$185+Assumptions!$C$92)*'13W Cash Flow'!N$70</f>
        <v>0</v>
      </c>
      <c r="O166" s="80">
        <f>(Assumptions!$C$47*(1+$F$9)*O$185+Assumptions!$C$92)*'13W Cash Flow'!O$70</f>
        <v>0</v>
      </c>
      <c r="P166" s="80">
        <f>(Assumptions!$C$47*(1+$F$9)*P$185+Assumptions!$C$92)*'13W Cash Flow'!P$70</f>
        <v>26200</v>
      </c>
      <c r="Q166" s="80">
        <f t="shared" si="26"/>
        <v>96503.225806451606</v>
      </c>
    </row>
    <row r="167" spans="2:17" ht="13.5" customHeight="1" x14ac:dyDescent="0.35">
      <c r="B167" s="75" t="s">
        <v>529</v>
      </c>
      <c r="C167" s="59" t="s">
        <v>530</v>
      </c>
      <c r="D167" s="80">
        <f>D152*(Assumptions!$C$46*'13W Cash Flow'!D$65+(Assumptions!$C$48*'13W Cash Flow'!D$68+Assumptions!$C$49*'13W Cash Flow'!D$67+Assumptions!$C$50*'13W Cash Flow'!D$65)*(1+$F$10))</f>
        <v>0</v>
      </c>
      <c r="E167" s="80">
        <f>E152*(Assumptions!$C$46*'13W Cash Flow'!E$65+(Assumptions!$C$48*'13W Cash Flow'!E$68+Assumptions!$C$49*'13W Cash Flow'!E$67+Assumptions!$C$50*'13W Cash Flow'!E$65)*(1+$F$10))</f>
        <v>3050</v>
      </c>
      <c r="F167" s="80">
        <f>F152*(Assumptions!$C$46*'13W Cash Flow'!F$65+(Assumptions!$C$48*'13W Cash Flow'!F$68+Assumptions!$C$49*'13W Cash Flow'!F$67+Assumptions!$C$50*'13W Cash Flow'!F$65)*(1+$F$10))</f>
        <v>0</v>
      </c>
      <c r="G167" s="80">
        <f>G152*(Assumptions!$C$46*'13W Cash Flow'!G$65+(Assumptions!$C$48*'13W Cash Flow'!G$68+Assumptions!$C$49*'13W Cash Flow'!G$67+Assumptions!$C$50*'13W Cash Flow'!G$65)*(1+$F$10))</f>
        <v>0</v>
      </c>
      <c r="H167" s="80">
        <f>H152*(Assumptions!$C$46*'13W Cash Flow'!H$65+(Assumptions!$C$48*'13W Cash Flow'!H$68+Assumptions!$C$49*'13W Cash Flow'!H$67+Assumptions!$C$50*'13W Cash Flow'!H$65)*(1+$F$10))</f>
        <v>0</v>
      </c>
      <c r="I167" s="80">
        <f>I152*(Assumptions!$C$46*'13W Cash Flow'!I$65+(Assumptions!$C$48*'13W Cash Flow'!I$68+Assumptions!$C$49*'13W Cash Flow'!I$67+Assumptions!$C$50*'13W Cash Flow'!I$65)*(1+$F$10))</f>
        <v>0</v>
      </c>
      <c r="J167" s="80">
        <f>J152*(Assumptions!$C$46*'13W Cash Flow'!J$65+(Assumptions!$C$48*'13W Cash Flow'!J$68+Assumptions!$C$49*'13W Cash Flow'!J$67+Assumptions!$C$50*'13W Cash Flow'!J$65)*(1+$F$10))</f>
        <v>0</v>
      </c>
      <c r="K167" s="80">
        <f>K152*(Assumptions!$C$46*'13W Cash Flow'!K$65+(Assumptions!$C$48*'13W Cash Flow'!K$68+Assumptions!$C$49*'13W Cash Flow'!K$67+Assumptions!$C$50*'13W Cash Flow'!K$65)*(1+$F$10))</f>
        <v>0</v>
      </c>
      <c r="L167" s="80">
        <f>L152*(Assumptions!$C$46*'13W Cash Flow'!L$65+(Assumptions!$C$48*'13W Cash Flow'!L$68+Assumptions!$C$49*'13W Cash Flow'!L$67+Assumptions!$C$50*'13W Cash Flow'!L$65)*(1+$F$10))</f>
        <v>0</v>
      </c>
      <c r="M167" s="80">
        <f>M152*(Assumptions!$C$46*'13W Cash Flow'!M$65+(Assumptions!$C$48*'13W Cash Flow'!M$68+Assumptions!$C$49*'13W Cash Flow'!M$67+Assumptions!$C$50*'13W Cash Flow'!M$65)*(1+$F$10))</f>
        <v>0</v>
      </c>
      <c r="N167" s="80">
        <f>N152*(Assumptions!$C$46*'13W Cash Flow'!N$65+(Assumptions!$C$48*'13W Cash Flow'!N$68+Assumptions!$C$49*'13W Cash Flow'!N$67+Assumptions!$C$50*'13W Cash Flow'!N$65)*(1+$F$10))</f>
        <v>0</v>
      </c>
      <c r="O167" s="80">
        <f>O152*(Assumptions!$C$46*'13W Cash Flow'!O$65+(Assumptions!$C$48*'13W Cash Flow'!O$68+Assumptions!$C$49*'13W Cash Flow'!O$67+Assumptions!$C$50*'13W Cash Flow'!O$65)*(1+$F$10))</f>
        <v>0</v>
      </c>
      <c r="P167" s="80">
        <f>P152*(Assumptions!$C$46*'13W Cash Flow'!P$65+(Assumptions!$C$48*'13W Cash Flow'!P$68+Assumptions!$C$49*'13W Cash Flow'!P$67+Assumptions!$C$50*'13W Cash Flow'!P$65)*(1+$F$10))</f>
        <v>0</v>
      </c>
      <c r="Q167" s="80">
        <f t="shared" si="26"/>
        <v>3050</v>
      </c>
    </row>
    <row r="168" spans="2:17" ht="13.5" customHeight="1" x14ac:dyDescent="0.35">
      <c r="B168" s="75" t="s">
        <v>531</v>
      </c>
      <c r="C168" s="59" t="s">
        <v>270</v>
      </c>
      <c r="D168" s="80">
        <f>D154*Assumptions!$C$40*$F$13+Assumptions!$C$62*'13W Cash Flow'!D$67</f>
        <v>2446.8444000000004</v>
      </c>
      <c r="E168" s="80">
        <f>E154*Assumptions!$C$40*$F$13+Assumptions!$C$62*'13W Cash Flow'!E$67</f>
        <v>7148.6459999999997</v>
      </c>
      <c r="F168" s="80">
        <f>F154*Assumptions!$C$40*$F$13+Assumptions!$C$62*'13W Cash Flow'!F$67</f>
        <v>2421.6192000000001</v>
      </c>
      <c r="G168" s="80">
        <f>G154*Assumptions!$C$40*$F$13+Assumptions!$C$62*'13W Cash Flow'!G$67</f>
        <v>2396.3939999999998</v>
      </c>
      <c r="H168" s="80">
        <f>H154*Assumptions!$C$40*$F$13+Assumptions!$C$62*'13W Cash Flow'!H$67</f>
        <v>3016.3729050000002</v>
      </c>
      <c r="I168" s="80">
        <f>I154*Assumptions!$C$40*$F$13+Assumptions!$C$62*'13W Cash Flow'!I$67</f>
        <v>7614.3744449999995</v>
      </c>
      <c r="J168" s="80">
        <f>J154*Assumptions!$C$40*$F$13+Assumptions!$C$62*'13W Cash Flow'!J$67</f>
        <v>3181.5693000000001</v>
      </c>
      <c r="K168" s="80">
        <f>K154*Assumptions!$C$40*$F$13+Assumptions!$C$62*'13W Cash Flow'!K$67</f>
        <v>3243.1826699999997</v>
      </c>
      <c r="L168" s="80">
        <f>L154*Assumptions!$C$40*$F$13+Assumptions!$C$62*'13W Cash Flow'!L$67</f>
        <v>3195.6315300000001</v>
      </c>
      <c r="M168" s="80">
        <f>M154*Assumptions!$C$40*$F$13+Assumptions!$C$62*'13W Cash Flow'!M$67</f>
        <v>7799.2145550000005</v>
      </c>
      <c r="N168" s="80">
        <f>N154*Assumptions!$C$40*$F$13+Assumptions!$C$62*'13W Cash Flow'!N$67</f>
        <v>3416.8598100000004</v>
      </c>
      <c r="O168" s="80">
        <f>O154*Assumptions!$C$40*$F$13+Assumptions!$C$62*'13W Cash Flow'!O$67</f>
        <v>3514.8613499999997</v>
      </c>
      <c r="P168" s="80">
        <f>P154*Assumptions!$C$40*$F$13+Assumptions!$C$62*'13W Cash Flow'!P$67</f>
        <v>3663.3132899999996</v>
      </c>
      <c r="Q168" s="80">
        <f t="shared" si="26"/>
        <v>53058.883454999996</v>
      </c>
    </row>
    <row r="169" spans="2:17" ht="13.5" customHeight="1" x14ac:dyDescent="0.35">
      <c r="B169" s="75" t="s">
        <v>350</v>
      </c>
      <c r="C169" s="59" t="s">
        <v>272</v>
      </c>
      <c r="D169" s="80">
        <f>D154*Assumptions!$C$39+D156*Assumptions!$C$43</f>
        <v>1472.3980000000001</v>
      </c>
      <c r="E169" s="80">
        <f>E154*Assumptions!$C$39+E156*Assumptions!$C$43</f>
        <v>1589.22</v>
      </c>
      <c r="F169" s="80">
        <f>F154*Assumptions!$C$39+F156*Assumptions!$C$43</f>
        <v>1457.2065</v>
      </c>
      <c r="G169" s="80">
        <f>G154*Assumptions!$C$39+G156*Assumptions!$C$43</f>
        <v>1442.0150000000001</v>
      </c>
      <c r="H169" s="80">
        <f>H154*Assumptions!$C$39+H156*Assumptions!$C$43</f>
        <v>1789.980225</v>
      </c>
      <c r="I169" s="80">
        <f>I154*Assumptions!$C$39+I156*Assumptions!$C$43</f>
        <v>1847.9580249999999</v>
      </c>
      <c r="J169" s="80">
        <f>J154*Assumptions!$C$39+J156*Assumptions!$C$43</f>
        <v>1887.6435000000001</v>
      </c>
      <c r="K169" s="80">
        <f>K154*Assumptions!$C$39+K156*Assumptions!$C$43</f>
        <v>1923.0506499999999</v>
      </c>
      <c r="L169" s="80">
        <f>L154*Assumptions!$C$39+L156*Assumptions!$C$43</f>
        <v>1894.27835</v>
      </c>
      <c r="M169" s="80">
        <f>M154*Assumptions!$C$39+M156*Assumptions!$C$43</f>
        <v>1956.5344750000002</v>
      </c>
      <c r="N169" s="80">
        <f>N154*Assumptions!$C$39+N156*Assumptions!$C$43</f>
        <v>2025.4254500000004</v>
      </c>
      <c r="O169" s="80">
        <f>O154*Assumptions!$C$39+O156*Assumptions!$C$43</f>
        <v>2082.2257499999996</v>
      </c>
      <c r="P169" s="80">
        <f>P154*Assumptions!$C$39+P156*Assumptions!$C$43</f>
        <v>2167.0540500000002</v>
      </c>
      <c r="Q169" s="80">
        <f t="shared" si="26"/>
        <v>23534.989974999997</v>
      </c>
    </row>
    <row r="170" spans="2:17" ht="13.5" customHeight="1" x14ac:dyDescent="0.35">
      <c r="B170" s="75" t="s">
        <v>273</v>
      </c>
      <c r="C170" s="59" t="s">
        <v>272</v>
      </c>
      <c r="D170" s="80">
        <f>D153*Assumptions!$C$34+D154*Assumptions!$C$35+D155*Assumptions!$C$36</f>
        <v>932.78499999999985</v>
      </c>
      <c r="E170" s="80">
        <f>E153*Assumptions!$C$34+E154*Assumptions!$C$35+E155*Assumptions!$C$36</f>
        <v>1469.7760799999999</v>
      </c>
      <c r="F170" s="80">
        <f>F153*Assumptions!$C$34+F154*Assumptions!$C$35+F155*Assumptions!$C$36</f>
        <v>916.22831999999994</v>
      </c>
      <c r="G170" s="80">
        <f>G153*Assumptions!$C$34+G154*Assumptions!$C$35+G155*Assumptions!$C$36</f>
        <v>903.10640000000001</v>
      </c>
      <c r="H170" s="80">
        <f>H153*Assumptions!$C$34+H154*Assumptions!$C$35+H155*Assumptions!$C$36</f>
        <v>747.64798500000006</v>
      </c>
      <c r="I170" s="80">
        <f>I153*Assumptions!$C$34+I154*Assumptions!$C$35+I155*Assumptions!$C$36</f>
        <v>771.93896500000005</v>
      </c>
      <c r="J170" s="80">
        <f>J153*Assumptions!$C$34+J154*Assumptions!$C$35+J155*Assumptions!$C$36</f>
        <v>1142.4501</v>
      </c>
      <c r="K170" s="80">
        <f>K153*Assumptions!$C$34+K154*Assumptions!$C$35+K155*Assumptions!$C$36</f>
        <v>803.86578999999995</v>
      </c>
      <c r="L170" s="80">
        <f>L153*Assumptions!$C$34+L154*Assumptions!$C$35+L155*Assumptions!$C$36</f>
        <v>792.07961</v>
      </c>
      <c r="M170" s="80">
        <f>M153*Assumptions!$C$34+M154*Assumptions!$C$35+M155*Assumptions!$C$36</f>
        <v>817.75403500000004</v>
      </c>
      <c r="N170" s="80">
        <f>N153*Assumptions!$C$34+N154*Assumptions!$C$35+N155*Assumptions!$C$36</f>
        <v>1466.1619700000001</v>
      </c>
      <c r="O170" s="80">
        <f>O153*Assumptions!$C$34+O154*Assumptions!$C$35+O155*Assumptions!$C$36</f>
        <v>871.20494999999994</v>
      </c>
      <c r="P170" s="80">
        <f>P153*Assumptions!$C$34+P154*Assumptions!$C$35+P155*Assumptions!$C$36</f>
        <v>1394.5527300000001</v>
      </c>
      <c r="Q170" s="80">
        <f t="shared" si="26"/>
        <v>13029.551935</v>
      </c>
    </row>
    <row r="171" spans="2:17" ht="13.5" customHeight="1" x14ac:dyDescent="0.35">
      <c r="B171" s="75" t="s">
        <v>532</v>
      </c>
      <c r="C171" s="59" t="s">
        <v>272</v>
      </c>
      <c r="D171" s="80">
        <f>D155*Assumptions!$C$41+D153*(Assumptions!$C$37+Assumptions!$C$38)</f>
        <v>688.86019999999985</v>
      </c>
      <c r="E171" s="80">
        <f>E155*Assumptions!$C$41+E153*(Assumptions!$C$37+Assumptions!$C$38)</f>
        <v>4973.5252799999998</v>
      </c>
      <c r="F171" s="80">
        <f>F155*Assumptions!$C$41+F153*(Assumptions!$C$37+Assumptions!$C$38)</f>
        <v>667.10671999999988</v>
      </c>
      <c r="G171" s="80">
        <f>G155*Assumptions!$C$41+G153*(Assumptions!$C$37+Assumptions!$C$38)</f>
        <v>652.60439999999994</v>
      </c>
      <c r="H171" s="80">
        <f>H155*Assumptions!$C$41+H153*(Assumptions!$C$37+Assumptions!$C$38)</f>
        <v>0</v>
      </c>
      <c r="I171" s="80">
        <f>I155*Assumptions!$C$41+I153*(Assumptions!$C$37+Assumptions!$C$38)</f>
        <v>0</v>
      </c>
      <c r="J171" s="80">
        <f>J155*Assumptions!$C$41+J153*(Assumptions!$C$37+Assumptions!$C$38)</f>
        <v>3352.3199999999997</v>
      </c>
      <c r="K171" s="80">
        <f>K155*Assumptions!$C$41+K153*(Assumptions!$C$37+Assumptions!$C$38)</f>
        <v>0</v>
      </c>
      <c r="L171" s="80">
        <f>L155*Assumptions!$C$41+L153*(Assumptions!$C$37+Assumptions!$C$38)</f>
        <v>0</v>
      </c>
      <c r="M171" s="80">
        <f>M155*Assumptions!$C$41+M153*(Assumptions!$C$37+Assumptions!$C$38)</f>
        <v>0</v>
      </c>
      <c r="N171" s="80">
        <f>N155*Assumptions!$C$41+N153*(Assumptions!$C$37+Assumptions!$C$38)</f>
        <v>5866.5599999999995</v>
      </c>
      <c r="O171" s="80">
        <f>O155*Assumptions!$C$41+O153*(Assumptions!$C$37+Assumptions!$C$38)</f>
        <v>0</v>
      </c>
      <c r="P171" s="80">
        <f>P155*Assumptions!$C$41+P153*(Assumptions!$C$37+Assumptions!$C$38)</f>
        <v>4609.4400000000005</v>
      </c>
      <c r="Q171" s="80">
        <f t="shared" si="26"/>
        <v>20810.4166</v>
      </c>
    </row>
    <row r="172" spans="2:17" ht="13.5" customHeight="1" x14ac:dyDescent="0.35">
      <c r="B172" s="75" t="s">
        <v>533</v>
      </c>
      <c r="C172" s="59" t="s">
        <v>534</v>
      </c>
      <c r="D172" s="80">
        <f>(Assumptions!$C$61+Assumptions!$C$54)*'13W Cash Flow'!D$67+Assumptions!$C$60*'13W Cash Flow'!D$69+Assumptions!$C$63*'13W Cash Flow'!D$65</f>
        <v>0</v>
      </c>
      <c r="E172" s="80">
        <f>(Assumptions!$C$61+Assumptions!$C$54)*'13W Cash Flow'!E$67+Assumptions!$C$60*'13W Cash Flow'!E$69+Assumptions!$C$63*'13W Cash Flow'!E$65</f>
        <v>2000</v>
      </c>
      <c r="F172" s="80">
        <f>(Assumptions!$C$61+Assumptions!$C$54)*'13W Cash Flow'!F$67+Assumptions!$C$60*'13W Cash Flow'!F$69+Assumptions!$C$63*'13W Cash Flow'!F$65</f>
        <v>1800</v>
      </c>
      <c r="G172" s="80">
        <f>(Assumptions!$C$61+Assumptions!$C$54)*'13W Cash Flow'!G$67+Assumptions!$C$60*'13W Cash Flow'!G$69+Assumptions!$C$63*'13W Cash Flow'!G$65</f>
        <v>0</v>
      </c>
      <c r="H172" s="80">
        <f>(Assumptions!$C$61+Assumptions!$C$54)*'13W Cash Flow'!H$67+Assumptions!$C$60*'13W Cash Flow'!H$69+Assumptions!$C$63*'13W Cash Flow'!H$65</f>
        <v>1500</v>
      </c>
      <c r="I172" s="80">
        <f>(Assumptions!$C$61+Assumptions!$C$54)*'13W Cash Flow'!I$67+Assumptions!$C$60*'13W Cash Flow'!I$69+Assumptions!$C$63*'13W Cash Flow'!I$65</f>
        <v>2000</v>
      </c>
      <c r="J172" s="80">
        <f>(Assumptions!$C$61+Assumptions!$C$54)*'13W Cash Flow'!J$67+Assumptions!$C$60*'13W Cash Flow'!J$69+Assumptions!$C$63*'13W Cash Flow'!J$65</f>
        <v>1800</v>
      </c>
      <c r="K172" s="80">
        <f>(Assumptions!$C$61+Assumptions!$C$54)*'13W Cash Flow'!K$67+Assumptions!$C$60*'13W Cash Flow'!K$69+Assumptions!$C$63*'13W Cash Flow'!K$65</f>
        <v>0</v>
      </c>
      <c r="L172" s="80">
        <f>(Assumptions!$C$61+Assumptions!$C$54)*'13W Cash Flow'!L$67+Assumptions!$C$60*'13W Cash Flow'!L$69+Assumptions!$C$63*'13W Cash Flow'!L$65</f>
        <v>1500</v>
      </c>
      <c r="M172" s="80">
        <f>(Assumptions!$C$61+Assumptions!$C$54)*'13W Cash Flow'!M$67+Assumptions!$C$60*'13W Cash Flow'!M$69+Assumptions!$C$63*'13W Cash Flow'!M$65</f>
        <v>2000</v>
      </c>
      <c r="N172" s="80">
        <f>(Assumptions!$C$61+Assumptions!$C$54)*'13W Cash Flow'!N$67+Assumptions!$C$60*'13W Cash Flow'!N$69+Assumptions!$C$63*'13W Cash Flow'!N$65</f>
        <v>0</v>
      </c>
      <c r="O172" s="80">
        <f>(Assumptions!$C$61+Assumptions!$C$54)*'13W Cash Flow'!O$67+Assumptions!$C$60*'13W Cash Flow'!O$69+Assumptions!$C$63*'13W Cash Flow'!O$65</f>
        <v>1800</v>
      </c>
      <c r="P172" s="80">
        <f>(Assumptions!$C$61+Assumptions!$C$54)*'13W Cash Flow'!P$67+Assumptions!$C$60*'13W Cash Flow'!P$69+Assumptions!$C$63*'13W Cash Flow'!P$65</f>
        <v>1500</v>
      </c>
      <c r="Q172" s="80">
        <f t="shared" si="26"/>
        <v>15900</v>
      </c>
    </row>
    <row r="173" spans="2:17" ht="13.5" customHeight="1" x14ac:dyDescent="0.35">
      <c r="B173" s="75" t="s">
        <v>535</v>
      </c>
      <c r="C173" s="59" t="s">
        <v>536</v>
      </c>
      <c r="D173" s="80">
        <f>IF(D151=Assumptions!$C$89,Assumptions!$C$88,0)+Assumptions!$C$87*'13W Cash Flow'!D$66</f>
        <v>4200</v>
      </c>
      <c r="E173" s="80">
        <f>IF(E151=Assumptions!$C$89,Assumptions!$C$88,0)+Assumptions!$C$87*'13W Cash Flow'!E$66</f>
        <v>0</v>
      </c>
      <c r="F173" s="80">
        <f>IF(F151=Assumptions!$C$89,Assumptions!$C$88,0)+Assumptions!$C$87*'13W Cash Flow'!F$66</f>
        <v>0</v>
      </c>
      <c r="G173" s="80">
        <f>IF(G151=Assumptions!$C$89,Assumptions!$C$88,0)+Assumptions!$C$87*'13W Cash Flow'!G$66</f>
        <v>0</v>
      </c>
      <c r="H173" s="80">
        <f>IF(H151=Assumptions!$C$89,Assumptions!$C$88,0)+Assumptions!$C$87*'13W Cash Flow'!H$66</f>
        <v>4200</v>
      </c>
      <c r="I173" s="80">
        <f>IF(I151=Assumptions!$C$89,Assumptions!$C$88,0)+Assumptions!$C$87*'13W Cash Flow'!I$66</f>
        <v>0</v>
      </c>
      <c r="J173" s="80">
        <f>IF(J151=Assumptions!$C$89,Assumptions!$C$88,0)+Assumptions!$C$87*'13W Cash Flow'!J$66</f>
        <v>0</v>
      </c>
      <c r="K173" s="80">
        <f>IF(K151=Assumptions!$C$89,Assumptions!$C$88,0)+Assumptions!$C$87*'13W Cash Flow'!K$66</f>
        <v>0</v>
      </c>
      <c r="L173" s="80">
        <f>IF(L151=Assumptions!$C$89,Assumptions!$C$88,0)+Assumptions!$C$87*'13W Cash Flow'!L$66</f>
        <v>26500</v>
      </c>
      <c r="M173" s="80">
        <f>IF(M151=Assumptions!$C$89,Assumptions!$C$88,0)+Assumptions!$C$87*'13W Cash Flow'!M$66</f>
        <v>4200</v>
      </c>
      <c r="N173" s="80">
        <f>IF(N151=Assumptions!$C$89,Assumptions!$C$88,0)+Assumptions!$C$87*'13W Cash Flow'!N$66</f>
        <v>0</v>
      </c>
      <c r="O173" s="80">
        <f>IF(O151=Assumptions!$C$89,Assumptions!$C$88,0)+Assumptions!$C$87*'13W Cash Flow'!O$66</f>
        <v>0</v>
      </c>
      <c r="P173" s="80">
        <f>IF(P151=Assumptions!$C$89,Assumptions!$C$88,0)+Assumptions!$C$87*'13W Cash Flow'!P$66</f>
        <v>0</v>
      </c>
      <c r="Q173" s="80">
        <f t="shared" si="26"/>
        <v>39100</v>
      </c>
    </row>
    <row r="174" spans="2:17" ht="13.5" customHeight="1" x14ac:dyDescent="0.35">
      <c r="B174" s="75" t="s">
        <v>464</v>
      </c>
      <c r="C174" s="59" t="s">
        <v>537</v>
      </c>
      <c r="D174" s="80">
        <f t="shared" ref="D174:P174" si="29">IF(D151=$F$17,$F$15*$F$16,0)+IF(D151=$F$18,$F$15*(1-$F$16),0)</f>
        <v>0</v>
      </c>
      <c r="E174" s="80">
        <f t="shared" si="29"/>
        <v>0</v>
      </c>
      <c r="F174" s="80">
        <f t="shared" si="29"/>
        <v>0</v>
      </c>
      <c r="G174" s="80">
        <f t="shared" si="29"/>
        <v>0</v>
      </c>
      <c r="H174" s="80">
        <f t="shared" si="29"/>
        <v>48000</v>
      </c>
      <c r="I174" s="80">
        <f t="shared" si="29"/>
        <v>0</v>
      </c>
      <c r="J174" s="80">
        <f t="shared" si="29"/>
        <v>48000</v>
      </c>
      <c r="K174" s="80">
        <f t="shared" si="29"/>
        <v>0</v>
      </c>
      <c r="L174" s="80">
        <f t="shared" si="29"/>
        <v>0</v>
      </c>
      <c r="M174" s="80">
        <f t="shared" si="29"/>
        <v>0</v>
      </c>
      <c r="N174" s="80">
        <f t="shared" si="29"/>
        <v>0</v>
      </c>
      <c r="O174" s="80">
        <f t="shared" si="29"/>
        <v>0</v>
      </c>
      <c r="P174" s="80">
        <f t="shared" si="29"/>
        <v>0</v>
      </c>
      <c r="Q174" s="80">
        <f t="shared" si="26"/>
        <v>96000</v>
      </c>
    </row>
    <row r="175" spans="2:17" ht="13.5" customHeight="1" x14ac:dyDescent="0.35">
      <c r="B175" s="78" t="s">
        <v>290</v>
      </c>
      <c r="C175" s="21"/>
      <c r="D175" s="136">
        <f t="shared" ref="D175:P175" si="30">SUM(D165:D174)</f>
        <v>20757.058440000001</v>
      </c>
      <c r="E175" s="136">
        <f t="shared" si="30"/>
        <v>91185.49257599999</v>
      </c>
      <c r="F175" s="136">
        <f t="shared" si="30"/>
        <v>18070.649123999996</v>
      </c>
      <c r="G175" s="136">
        <f t="shared" si="30"/>
        <v>16041.40948</v>
      </c>
      <c r="H175" s="136">
        <f t="shared" si="30"/>
        <v>155555.42522545162</v>
      </c>
      <c r="I175" s="136">
        <f t="shared" si="30"/>
        <v>18631.640811000001</v>
      </c>
      <c r="J175" s="136">
        <f t="shared" si="30"/>
        <v>69008.037299999996</v>
      </c>
      <c r="K175" s="136">
        <f t="shared" si="30"/>
        <v>94615.508965999994</v>
      </c>
      <c r="L175" s="136">
        <f t="shared" si="30"/>
        <v>66622.828593999991</v>
      </c>
      <c r="M175" s="136">
        <f t="shared" si="30"/>
        <v>23536.936889000001</v>
      </c>
      <c r="N175" s="136">
        <f t="shared" si="30"/>
        <v>78212.941117999988</v>
      </c>
      <c r="O175" s="136">
        <f t="shared" si="30"/>
        <v>15446.659729999998</v>
      </c>
      <c r="P175" s="136">
        <f t="shared" si="30"/>
        <v>51254.920262000007</v>
      </c>
      <c r="Q175" s="136">
        <f t="shared" si="26"/>
        <v>718939.50851545157</v>
      </c>
    </row>
    <row r="176" spans="2:17" ht="13.5" customHeight="1" x14ac:dyDescent="0.35">
      <c r="B176" s="78" t="s">
        <v>504</v>
      </c>
      <c r="C176" s="21"/>
      <c r="D176" s="137">
        <f t="shared" ref="D176:P176" si="31">D164-D175</f>
        <v>23951.829559999998</v>
      </c>
      <c r="E176" s="137">
        <f t="shared" si="31"/>
        <v>-19621.105375999992</v>
      </c>
      <c r="F176" s="137">
        <f t="shared" si="31"/>
        <v>26212.700476000005</v>
      </c>
      <c r="G176" s="137">
        <f t="shared" si="31"/>
        <v>27172.261719999995</v>
      </c>
      <c r="H176" s="137">
        <f t="shared" si="31"/>
        <v>-123920.20097545162</v>
      </c>
      <c r="I176" s="137">
        <f t="shared" si="31"/>
        <v>55356.301188999991</v>
      </c>
      <c r="J176" s="137">
        <f t="shared" si="31"/>
        <v>-18057.034549999997</v>
      </c>
      <c r="K176" s="137">
        <f t="shared" si="31"/>
        <v>-61809.690466</v>
      </c>
      <c r="L176" s="137">
        <f t="shared" si="31"/>
        <v>-33918.62559399999</v>
      </c>
      <c r="M176" s="137">
        <f t="shared" si="31"/>
        <v>10023.679361000006</v>
      </c>
      <c r="N176" s="137">
        <f t="shared" si="31"/>
        <v>-10962.938367999988</v>
      </c>
      <c r="O176" s="137">
        <f t="shared" si="31"/>
        <v>20129.097269999998</v>
      </c>
      <c r="P176" s="137">
        <f t="shared" si="31"/>
        <v>11023.076737999996</v>
      </c>
      <c r="Q176" s="137">
        <f t="shared" si="26"/>
        <v>-94420.649015451607</v>
      </c>
    </row>
    <row r="177" spans="2:17" ht="13.5" customHeight="1" x14ac:dyDescent="0.35">
      <c r="B177" s="75" t="s">
        <v>505</v>
      </c>
      <c r="C177" s="59" t="s">
        <v>249</v>
      </c>
      <c r="D177" s="80">
        <f>Assumptions!$C$13</f>
        <v>205000</v>
      </c>
      <c r="E177" s="80">
        <f t="shared" ref="E177:P177" si="32">D178</f>
        <v>228951.82955999998</v>
      </c>
      <c r="F177" s="80">
        <f t="shared" si="32"/>
        <v>209330.72418399999</v>
      </c>
      <c r="G177" s="80">
        <f t="shared" si="32"/>
        <v>235543.42465999999</v>
      </c>
      <c r="H177" s="80">
        <f t="shared" si="32"/>
        <v>262715.68637999997</v>
      </c>
      <c r="I177" s="80">
        <f t="shared" si="32"/>
        <v>138795.48540454835</v>
      </c>
      <c r="J177" s="80">
        <f t="shared" si="32"/>
        <v>194151.78659354834</v>
      </c>
      <c r="K177" s="80">
        <f t="shared" si="32"/>
        <v>176094.75204354833</v>
      </c>
      <c r="L177" s="80">
        <f t="shared" si="32"/>
        <v>114285.06157754833</v>
      </c>
      <c r="M177" s="80">
        <f t="shared" si="32"/>
        <v>80366.435983548348</v>
      </c>
      <c r="N177" s="80">
        <f t="shared" si="32"/>
        <v>90390.115344548351</v>
      </c>
      <c r="O177" s="80">
        <f t="shared" si="32"/>
        <v>79427.176976548362</v>
      </c>
      <c r="P177" s="80">
        <f t="shared" si="32"/>
        <v>99556.274246548361</v>
      </c>
      <c r="Q177" s="3"/>
    </row>
    <row r="178" spans="2:17" ht="13.5" customHeight="1" x14ac:dyDescent="0.35">
      <c r="B178" s="78" t="s">
        <v>293</v>
      </c>
      <c r="C178" s="21"/>
      <c r="D178" s="138">
        <f t="shared" ref="D178:P178" si="33">D177+D176</f>
        <v>228951.82955999998</v>
      </c>
      <c r="E178" s="138">
        <f t="shared" si="33"/>
        <v>209330.72418399999</v>
      </c>
      <c r="F178" s="138">
        <f t="shared" si="33"/>
        <v>235543.42465999999</v>
      </c>
      <c r="G178" s="138">
        <f t="shared" si="33"/>
        <v>262715.68637999997</v>
      </c>
      <c r="H178" s="138">
        <f t="shared" si="33"/>
        <v>138795.48540454835</v>
      </c>
      <c r="I178" s="138">
        <f t="shared" si="33"/>
        <v>194151.78659354834</v>
      </c>
      <c r="J178" s="138">
        <f t="shared" si="33"/>
        <v>176094.75204354833</v>
      </c>
      <c r="K178" s="138">
        <f t="shared" si="33"/>
        <v>114285.06157754833</v>
      </c>
      <c r="L178" s="138">
        <f t="shared" si="33"/>
        <v>80366.435983548348</v>
      </c>
      <c r="M178" s="138">
        <f t="shared" si="33"/>
        <v>90390.115344548351</v>
      </c>
      <c r="N178" s="138">
        <f t="shared" si="33"/>
        <v>79427.176976548362</v>
      </c>
      <c r="O178" s="138">
        <f t="shared" si="33"/>
        <v>99556.274246548361</v>
      </c>
      <c r="P178" s="138">
        <f t="shared" si="33"/>
        <v>110579.35098454836</v>
      </c>
      <c r="Q178" s="3"/>
    </row>
    <row r="179" spans="2:17" ht="13.5" customHeight="1" x14ac:dyDescent="0.35">
      <c r="B179" s="75" t="s">
        <v>538</v>
      </c>
      <c r="C179" s="21"/>
      <c r="D179" s="80">
        <f>D178-Assumptions!$C$14</f>
        <v>108951.82955999998</v>
      </c>
      <c r="E179" s="80">
        <f>E178-Assumptions!$C$14</f>
        <v>89330.724183999992</v>
      </c>
      <c r="F179" s="80">
        <f>F178-Assumptions!$C$14</f>
        <v>115543.42465999999</v>
      </c>
      <c r="G179" s="80">
        <f>G178-Assumptions!$C$14</f>
        <v>142715.68637999997</v>
      </c>
      <c r="H179" s="80">
        <f>H178-Assumptions!$C$14</f>
        <v>18795.485404548352</v>
      </c>
      <c r="I179" s="80">
        <f>I178-Assumptions!$C$14</f>
        <v>74151.786593548342</v>
      </c>
      <c r="J179" s="80">
        <f>J178-Assumptions!$C$14</f>
        <v>56094.752043548331</v>
      </c>
      <c r="K179" s="80">
        <f>K178-Assumptions!$C$14</f>
        <v>-5714.9384224516689</v>
      </c>
      <c r="L179" s="80">
        <f>L178-Assumptions!$C$14</f>
        <v>-39633.564016451652</v>
      </c>
      <c r="M179" s="80">
        <f>M178-Assumptions!$C$14</f>
        <v>-29609.884655451649</v>
      </c>
      <c r="N179" s="80">
        <f>N178-Assumptions!$C$14</f>
        <v>-40572.823023451638</v>
      </c>
      <c r="O179" s="80">
        <f>O178-Assumptions!$C$14</f>
        <v>-20443.725753451639</v>
      </c>
      <c r="P179" s="80">
        <f>P178-Assumptions!$C$14</f>
        <v>-9420.6490154516359</v>
      </c>
      <c r="Q179" s="3"/>
    </row>
    <row r="181" spans="2:17" x14ac:dyDescent="0.35">
      <c r="B181" s="166" t="s">
        <v>650</v>
      </c>
    </row>
    <row r="182" spans="2:17" x14ac:dyDescent="0.35">
      <c r="B182" t="s">
        <v>651</v>
      </c>
      <c r="D182" s="168">
        <f>IF($D$14=0,DATE(2099,12,31),INDEX('13W Cash Flow'!$D$8:$P$8,1,$D$14))</f>
        <v>73050</v>
      </c>
      <c r="E182" s="168">
        <f>IF($E$14=0,DATE(2099,12,31),INDEX('13W Cash Flow'!$D$8:$P$8,1,$E$14))</f>
        <v>73050</v>
      </c>
      <c r="F182" s="168">
        <f>IF($F$14=0,DATE(2099,12,31),INDEX('13W Cash Flow'!$D$8:$P$8,1,$F$14))</f>
        <v>46264</v>
      </c>
    </row>
    <row r="183" spans="2:17" x14ac:dyDescent="0.35">
      <c r="B183" t="s">
        <v>652</v>
      </c>
      <c r="D183" s="169">
        <f>MEDIAN(0,($D$182-DATE(YEAR('13W Cash Flow'!D$7),MONTH('13W Cash Flow'!D$7),1)+1)/DAY(EOMONTH('13W Cash Flow'!D$7,0)),1)</f>
        <v>1</v>
      </c>
      <c r="E183" s="169">
        <f>MEDIAN(0,($D$182-DATE(YEAR('13W Cash Flow'!E$7),MONTH('13W Cash Flow'!E$7),1)+1)/DAY(EOMONTH('13W Cash Flow'!E$7,0)),1)</f>
        <v>1</v>
      </c>
      <c r="F183" s="169">
        <f>MEDIAN(0,($D$182-DATE(YEAR('13W Cash Flow'!F$7),MONTH('13W Cash Flow'!F$7),1)+1)/DAY(EOMONTH('13W Cash Flow'!F$7,0)),1)</f>
        <v>1</v>
      </c>
      <c r="G183" s="169">
        <f>MEDIAN(0,($D$182-DATE(YEAR('13W Cash Flow'!G$7),MONTH('13W Cash Flow'!G$7),1)+1)/DAY(EOMONTH('13W Cash Flow'!G$7,0)),1)</f>
        <v>1</v>
      </c>
      <c r="H183" s="169">
        <f>MEDIAN(0,($D$182-DATE(YEAR('13W Cash Flow'!H$7),MONTH('13W Cash Flow'!H$7),1)+1)/DAY(EOMONTH('13W Cash Flow'!H$7,0)),1)</f>
        <v>1</v>
      </c>
      <c r="I183" s="169">
        <f>MEDIAN(0,($D$182-DATE(YEAR('13W Cash Flow'!I$7),MONTH('13W Cash Flow'!I$7),1)+1)/DAY(EOMONTH('13W Cash Flow'!I$7,0)),1)</f>
        <v>1</v>
      </c>
      <c r="J183" s="169">
        <f>MEDIAN(0,($D$182-DATE(YEAR('13W Cash Flow'!J$7),MONTH('13W Cash Flow'!J$7),1)+1)/DAY(EOMONTH('13W Cash Flow'!J$7,0)),1)</f>
        <v>1</v>
      </c>
      <c r="K183" s="169">
        <f>MEDIAN(0,($D$182-DATE(YEAR('13W Cash Flow'!K$7),MONTH('13W Cash Flow'!K$7),1)+1)/DAY(EOMONTH('13W Cash Flow'!K$7,0)),1)</f>
        <v>1</v>
      </c>
      <c r="L183" s="169">
        <f>MEDIAN(0,($D$182-DATE(YEAR('13W Cash Flow'!L$7),MONTH('13W Cash Flow'!L$7),1)+1)/DAY(EOMONTH('13W Cash Flow'!L$7,0)),1)</f>
        <v>1</v>
      </c>
      <c r="M183" s="169">
        <f>MEDIAN(0,($D$182-DATE(YEAR('13W Cash Flow'!M$7),MONTH('13W Cash Flow'!M$7),1)+1)/DAY(EOMONTH('13W Cash Flow'!M$7,0)),1)</f>
        <v>1</v>
      </c>
      <c r="N183" s="169">
        <f>MEDIAN(0,($D$182-DATE(YEAR('13W Cash Flow'!N$7),MONTH('13W Cash Flow'!N$7),1)+1)/DAY(EOMONTH('13W Cash Flow'!N$7,0)),1)</f>
        <v>1</v>
      </c>
      <c r="O183" s="169">
        <f>MEDIAN(0,($D$182-DATE(YEAR('13W Cash Flow'!O$7),MONTH('13W Cash Flow'!O$7),1)+1)/DAY(EOMONTH('13W Cash Flow'!O$7,0)),1)</f>
        <v>1</v>
      </c>
      <c r="P183" s="169">
        <f>MEDIAN(0,($D$182-DATE(YEAR('13W Cash Flow'!P$7),MONTH('13W Cash Flow'!P$7),1)+1)/DAY(EOMONTH('13W Cash Flow'!P$7,0)),1)</f>
        <v>1</v>
      </c>
    </row>
    <row r="184" spans="2:17" x14ac:dyDescent="0.35">
      <c r="B184" t="s">
        <v>653</v>
      </c>
      <c r="D184" s="169">
        <f>MEDIAN(0,($E$182-DATE(YEAR('13W Cash Flow'!D$7),MONTH('13W Cash Flow'!D$7),1)+1)/DAY(EOMONTH('13W Cash Flow'!D$7,0)),1)</f>
        <v>1</v>
      </c>
      <c r="E184" s="169">
        <f>MEDIAN(0,($E$182-DATE(YEAR('13W Cash Flow'!E$7),MONTH('13W Cash Flow'!E$7),1)+1)/DAY(EOMONTH('13W Cash Flow'!E$7,0)),1)</f>
        <v>1</v>
      </c>
      <c r="F184" s="169">
        <f>MEDIAN(0,($E$182-DATE(YEAR('13W Cash Flow'!F$7),MONTH('13W Cash Flow'!F$7),1)+1)/DAY(EOMONTH('13W Cash Flow'!F$7,0)),1)</f>
        <v>1</v>
      </c>
      <c r="G184" s="169">
        <f>MEDIAN(0,($E$182-DATE(YEAR('13W Cash Flow'!G$7),MONTH('13W Cash Flow'!G$7),1)+1)/DAY(EOMONTH('13W Cash Flow'!G$7,0)),1)</f>
        <v>1</v>
      </c>
      <c r="H184" s="169">
        <f>MEDIAN(0,($E$182-DATE(YEAR('13W Cash Flow'!H$7),MONTH('13W Cash Flow'!H$7),1)+1)/DAY(EOMONTH('13W Cash Flow'!H$7,0)),1)</f>
        <v>1</v>
      </c>
      <c r="I184" s="169">
        <f>MEDIAN(0,($E$182-DATE(YEAR('13W Cash Flow'!I$7),MONTH('13W Cash Flow'!I$7),1)+1)/DAY(EOMONTH('13W Cash Flow'!I$7,0)),1)</f>
        <v>1</v>
      </c>
      <c r="J184" s="169">
        <f>MEDIAN(0,($E$182-DATE(YEAR('13W Cash Flow'!J$7),MONTH('13W Cash Flow'!J$7),1)+1)/DAY(EOMONTH('13W Cash Flow'!J$7,0)),1)</f>
        <v>1</v>
      </c>
      <c r="K184" s="169">
        <f>MEDIAN(0,($E$182-DATE(YEAR('13W Cash Flow'!K$7),MONTH('13W Cash Flow'!K$7),1)+1)/DAY(EOMONTH('13W Cash Flow'!K$7,0)),1)</f>
        <v>1</v>
      </c>
      <c r="L184" s="169">
        <f>MEDIAN(0,($E$182-DATE(YEAR('13W Cash Flow'!L$7),MONTH('13W Cash Flow'!L$7),1)+1)/DAY(EOMONTH('13W Cash Flow'!L$7,0)),1)</f>
        <v>1</v>
      </c>
      <c r="M184" s="169">
        <f>MEDIAN(0,($E$182-DATE(YEAR('13W Cash Flow'!M$7),MONTH('13W Cash Flow'!M$7),1)+1)/DAY(EOMONTH('13W Cash Flow'!M$7,0)),1)</f>
        <v>1</v>
      </c>
      <c r="N184" s="169">
        <f>MEDIAN(0,($E$182-DATE(YEAR('13W Cash Flow'!N$7),MONTH('13W Cash Flow'!N$7),1)+1)/DAY(EOMONTH('13W Cash Flow'!N$7,0)),1)</f>
        <v>1</v>
      </c>
      <c r="O184" s="169">
        <f>MEDIAN(0,($E$182-DATE(YEAR('13W Cash Flow'!O$7),MONTH('13W Cash Flow'!O$7),1)+1)/DAY(EOMONTH('13W Cash Flow'!O$7,0)),1)</f>
        <v>1</v>
      </c>
      <c r="P184" s="169">
        <f>MEDIAN(0,($E$182-DATE(YEAR('13W Cash Flow'!P$7),MONTH('13W Cash Flow'!P$7),1)+1)/DAY(EOMONTH('13W Cash Flow'!P$7,0)),1)</f>
        <v>1</v>
      </c>
    </row>
    <row r="185" spans="2:17" x14ac:dyDescent="0.35">
      <c r="B185" t="s">
        <v>654</v>
      </c>
      <c r="D185" s="169">
        <f>MEDIAN(0,($F$182-DATE(YEAR('13W Cash Flow'!D$7),MONTH('13W Cash Flow'!D$7),1)+1)/DAY(EOMONTH('13W Cash Flow'!D$7,0)),1)</f>
        <v>0.967741935483871</v>
      </c>
      <c r="E185" s="169">
        <f>MEDIAN(0,($F$182-DATE(YEAR('13W Cash Flow'!E$7),MONTH('13W Cash Flow'!E$7),1)+1)/DAY(EOMONTH('13W Cash Flow'!E$7,0)),1)</f>
        <v>0.967741935483871</v>
      </c>
      <c r="F185" s="169">
        <f>MEDIAN(0,($F$182-DATE(YEAR('13W Cash Flow'!F$7),MONTH('13W Cash Flow'!F$7),1)+1)/DAY(EOMONTH('13W Cash Flow'!F$7,0)),1)</f>
        <v>0.967741935483871</v>
      </c>
      <c r="G185" s="169">
        <f>MEDIAN(0,($F$182-DATE(YEAR('13W Cash Flow'!G$7),MONTH('13W Cash Flow'!G$7),1)+1)/DAY(EOMONTH('13W Cash Flow'!G$7,0)),1)</f>
        <v>0.967741935483871</v>
      </c>
      <c r="H185" s="169">
        <f>MEDIAN(0,($F$182-DATE(YEAR('13W Cash Flow'!H$7),MONTH('13W Cash Flow'!H$7),1)+1)/DAY(EOMONTH('13W Cash Flow'!H$7,0)),1)</f>
        <v>0.967741935483871</v>
      </c>
      <c r="I185" s="169">
        <f>MEDIAN(0,($F$182-DATE(YEAR('13W Cash Flow'!I$7),MONTH('13W Cash Flow'!I$7),1)+1)/DAY(EOMONTH('13W Cash Flow'!I$7,0)),1)</f>
        <v>0</v>
      </c>
      <c r="J185" s="169">
        <f>MEDIAN(0,($F$182-DATE(YEAR('13W Cash Flow'!J$7),MONTH('13W Cash Flow'!J$7),1)+1)/DAY(EOMONTH('13W Cash Flow'!J$7,0)),1)</f>
        <v>0</v>
      </c>
      <c r="K185" s="169">
        <f>MEDIAN(0,($F$182-DATE(YEAR('13W Cash Flow'!K$7),MONTH('13W Cash Flow'!K$7),1)+1)/DAY(EOMONTH('13W Cash Flow'!K$7,0)),1)</f>
        <v>0</v>
      </c>
      <c r="L185" s="169">
        <f>MEDIAN(0,($F$182-DATE(YEAR('13W Cash Flow'!L$7),MONTH('13W Cash Flow'!L$7),1)+1)/DAY(EOMONTH('13W Cash Flow'!L$7,0)),1)</f>
        <v>0</v>
      </c>
      <c r="M185" s="169">
        <f>MEDIAN(0,($F$182-DATE(YEAR('13W Cash Flow'!M$7),MONTH('13W Cash Flow'!M$7),1)+1)/DAY(EOMONTH('13W Cash Flow'!M$7,0)),1)</f>
        <v>0</v>
      </c>
      <c r="N185" s="169">
        <f>MEDIAN(0,($F$182-DATE(YEAR('13W Cash Flow'!N$7),MONTH('13W Cash Flow'!N$7),1)+1)/DAY(EOMONTH('13W Cash Flow'!N$7,0)),1)</f>
        <v>0</v>
      </c>
      <c r="O185" s="169">
        <f>MEDIAN(0,($F$182-DATE(YEAR('13W Cash Flow'!O$7),MONTH('13W Cash Flow'!O$7),1)+1)/DAY(EOMONTH('13W Cash Flow'!O$7,0)),1)</f>
        <v>0</v>
      </c>
      <c r="P185" s="169">
        <f>MEDIAN(0,($F$182-DATE(YEAR('13W Cash Flow'!P$7),MONTH('13W Cash Flow'!P$7),1)+1)/DAY(EOMONTH('13W Cash Flow'!P$7,0)),1)</f>
        <v>0</v>
      </c>
    </row>
    <row r="186" spans="2:17" x14ac:dyDescent="0.35">
      <c r="B186" t="s">
        <v>655</v>
      </c>
    </row>
  </sheetData>
  <mergeCells count="2">
    <mergeCell ref="B4:Q4"/>
    <mergeCell ref="B80:P80"/>
  </mergeCells>
  <conditionalFormatting sqref="D50:F50">
    <cfRule type="expression" dxfId="16" priority="2">
      <formula>D$50=MAX($D$50:$F$50)</formula>
    </cfRule>
  </conditionalFormatting>
  <conditionalFormatting sqref="D54:F54">
    <cfRule type="cellIs" dxfId="15" priority="6" operator="lessThan">
      <formula>0</formula>
    </cfRule>
  </conditionalFormatting>
  <conditionalFormatting sqref="D63:F63">
    <cfRule type="expression" dxfId="14" priority="3">
      <formula>D$63=MAX($D$63:$F$63)</formula>
    </cfRule>
  </conditionalFormatting>
  <conditionalFormatting sqref="D66:F66">
    <cfRule type="cellIs" dxfId="13" priority="4" operator="lessThan">
      <formula>0</formula>
    </cfRule>
  </conditionalFormatting>
  <conditionalFormatting sqref="D67:F67">
    <cfRule type="cellIs" dxfId="12" priority="5" operator="greaterThan">
      <formula>0</formula>
    </cfRule>
  </conditionalFormatting>
  <hyperlinks>
    <hyperlink ref="Q3" location="'Dashboard'!A1" display="Back to Dashboard" xr:uid="{00000000-0004-0000-0500-000000000000}"/>
  </hyperlinks>
  <pageMargins left="0.35" right="0.35" top="0.45" bottom="0.45" header="0.511811023622047" footer="0.25"/>
  <pageSetup paperSize="9" scale="39" orientation="landscape" horizontalDpi="300" verticalDpi="300" r:id="rId1"/>
  <headerFooter>
    <oddFooter>&amp;L&amp;8 &amp;K808080Atelier North Pte. Ltd.  ·  synthetic FP&amp;&amp;A portfolio model&amp;R&amp;8 &amp;K808080&amp;A  ·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2F4B"/>
    <pageSetUpPr fitToPage="1"/>
  </sheetPr>
  <dimension ref="B1:I62"/>
  <sheetViews>
    <sheetView showGridLines="0" zoomScale="90" zoomScaleNormal="90" workbookViewId="0">
      <pane xSplit="3" ySplit="5" topLeftCell="D6" activePane="bottomRight" state="frozen"/>
      <selection pane="topRight" activeCell="D1" sqref="D1"/>
      <selection pane="bottomLeft" activeCell="A6" sqref="A6"/>
      <selection pane="bottomRight" activeCell="B2" sqref="B2"/>
    </sheetView>
  </sheetViews>
  <sheetFormatPr defaultColWidth="8.54296875" defaultRowHeight="14.5" x14ac:dyDescent="0.35"/>
  <cols>
    <col min="1" max="1" width="1.6328125" customWidth="1"/>
    <col min="2" max="2" width="50" customWidth="1"/>
    <col min="3" max="3" width="12" customWidth="1"/>
    <col min="4" max="7" width="15" customWidth="1"/>
    <col min="8" max="8" width="16" customWidth="1"/>
    <col min="9" max="9" width="13" customWidth="1"/>
  </cols>
  <sheetData>
    <row r="1" spans="2:9" ht="9" customHeight="1" x14ac:dyDescent="0.35"/>
    <row r="2" spans="2:9" ht="26" customHeight="1" x14ac:dyDescent="0.35">
      <c r="B2" s="173" t="s">
        <v>0</v>
      </c>
      <c r="C2" s="175"/>
      <c r="D2" s="175"/>
      <c r="E2" s="175"/>
      <c r="F2" s="175"/>
      <c r="G2" s="175"/>
      <c r="H2" s="175"/>
      <c r="I2" s="174" t="s">
        <v>1</v>
      </c>
    </row>
    <row r="3" spans="2:9" ht="20" customHeight="1" x14ac:dyDescent="0.35">
      <c r="B3" s="176" t="s">
        <v>334</v>
      </c>
      <c r="C3" s="177"/>
      <c r="D3" s="177"/>
      <c r="E3" s="177"/>
      <c r="F3" s="177"/>
      <c r="G3" s="177"/>
      <c r="H3" s="177"/>
      <c r="I3" s="178" t="s">
        <v>60</v>
      </c>
    </row>
    <row r="4" spans="2:9" ht="15" customHeight="1" x14ac:dyDescent="0.35">
      <c r="B4" s="24" t="s">
        <v>335</v>
      </c>
      <c r="C4" s="81">
        <v>6</v>
      </c>
      <c r="D4" s="3"/>
      <c r="E4" s="24" t="s">
        <v>336</v>
      </c>
      <c r="F4" s="3"/>
      <c r="G4" s="3"/>
      <c r="H4" s="3"/>
      <c r="I4" s="3"/>
    </row>
    <row r="5" spans="2:9" ht="30" customHeight="1" x14ac:dyDescent="0.35">
      <c r="B5" s="82" t="s">
        <v>337</v>
      </c>
      <c r="C5" s="82" t="s">
        <v>338</v>
      </c>
      <c r="D5" s="50" t="s">
        <v>339</v>
      </c>
      <c r="E5" s="50" t="s">
        <v>188</v>
      </c>
      <c r="F5" s="50" t="s">
        <v>340</v>
      </c>
      <c r="G5" s="50" t="s">
        <v>190</v>
      </c>
      <c r="H5" s="50" t="s">
        <v>341</v>
      </c>
      <c r="I5" s="50" t="s">
        <v>342</v>
      </c>
    </row>
    <row r="6" spans="2:9" ht="15" customHeight="1" x14ac:dyDescent="0.35">
      <c r="B6" s="25" t="s">
        <v>343</v>
      </c>
      <c r="C6" s="3"/>
      <c r="D6" s="83">
        <f>Assumptions!$J$99</f>
        <v>528000</v>
      </c>
      <c r="E6" s="83">
        <f>Assumptions!$J$100</f>
        <v>570000</v>
      </c>
      <c r="F6" s="83">
        <f>Assumptions!$J$101</f>
        <v>180000</v>
      </c>
      <c r="G6" s="83">
        <f>Assumptions!$J$102</f>
        <v>204000</v>
      </c>
      <c r="H6" s="84">
        <f>SUM(D6:G6)</f>
        <v>1482000</v>
      </c>
      <c r="I6" s="85">
        <f>IFERROR(H6/$H$8,0)</f>
        <v>1.0766280184813879</v>
      </c>
    </row>
    <row r="7" spans="2:9" ht="15" customHeight="1" x14ac:dyDescent="0.35">
      <c r="B7" s="25" t="s">
        <v>344</v>
      </c>
      <c r="C7" s="3"/>
      <c r="D7" s="33">
        <f>-D6*Assumptions!$C$23</f>
        <v>-31680</v>
      </c>
      <c r="E7" s="33">
        <f>-E6*Assumptions!$C$24</f>
        <v>-68400</v>
      </c>
      <c r="F7" s="33">
        <f>-F6*Assumptions!$C$25</f>
        <v>-5400</v>
      </c>
      <c r="G7" s="33">
        <f>-G6*Assumptions!$C$26</f>
        <v>0</v>
      </c>
      <c r="H7" s="84">
        <f>SUM(D7:G7)</f>
        <v>-105480</v>
      </c>
      <c r="I7" s="85">
        <f>IFERROR(H7/$H$8,0)</f>
        <v>-7.6628018481387852E-2</v>
      </c>
    </row>
    <row r="8" spans="2:9" ht="16.5" customHeight="1" x14ac:dyDescent="0.35">
      <c r="B8" s="86" t="s">
        <v>345</v>
      </c>
      <c r="C8" s="87"/>
      <c r="D8" s="58">
        <f>D6+D7</f>
        <v>496320</v>
      </c>
      <c r="E8" s="58">
        <f>E6+E7</f>
        <v>501600</v>
      </c>
      <c r="F8" s="58">
        <f>F6+F7</f>
        <v>174600</v>
      </c>
      <c r="G8" s="58">
        <f>G6+G7</f>
        <v>204000</v>
      </c>
      <c r="H8" s="88">
        <f>SUM(D8:G8)</f>
        <v>1376520</v>
      </c>
      <c r="I8" s="89">
        <f>IFERROR(H8/$H$8,0)</f>
        <v>1</v>
      </c>
    </row>
    <row r="9" spans="2:9" ht="15" customHeight="1" x14ac:dyDescent="0.35">
      <c r="B9" s="25" t="s">
        <v>327</v>
      </c>
      <c r="C9" s="3"/>
      <c r="D9" s="33">
        <f>-D8*(1-Assumptions!$C$28)</f>
        <v>-208454.40000000002</v>
      </c>
      <c r="E9" s="33">
        <f>-E8*(1-Assumptions!$C$29)</f>
        <v>-200640</v>
      </c>
      <c r="F9" s="33">
        <f>-F8*(1-Assumptions!$C$30)</f>
        <v>-62856</v>
      </c>
      <c r="G9" s="33">
        <f>-G8*(1-Assumptions!$C$31)</f>
        <v>-81600</v>
      </c>
      <c r="H9" s="84">
        <f>SUM(D9:G9)</f>
        <v>-553550.4</v>
      </c>
      <c r="I9" s="85">
        <f>IFERROR(H9/$H$8,0)</f>
        <v>-0.40213756429256386</v>
      </c>
    </row>
    <row r="10" spans="2:9" ht="16.5" customHeight="1" x14ac:dyDescent="0.35">
      <c r="B10" s="86" t="s">
        <v>346</v>
      </c>
      <c r="C10" s="87"/>
      <c r="D10" s="58">
        <f>D8+D9</f>
        <v>287865.59999999998</v>
      </c>
      <c r="E10" s="58">
        <f>E8+E9</f>
        <v>300960</v>
      </c>
      <c r="F10" s="58">
        <f>F8+F9</f>
        <v>111744</v>
      </c>
      <c r="G10" s="58">
        <f>G8+G9</f>
        <v>122400</v>
      </c>
      <c r="H10" s="88">
        <f>SUM(D10:G10)</f>
        <v>822969.6</v>
      </c>
      <c r="I10" s="89">
        <f>IFERROR(H10/$H$8,0)</f>
        <v>0.59786243570743614</v>
      </c>
    </row>
    <row r="11" spans="2:9" ht="15" customHeight="1" x14ac:dyDescent="0.35">
      <c r="B11" s="25" t="s">
        <v>347</v>
      </c>
      <c r="C11" s="3"/>
      <c r="D11" s="90">
        <f>IFERROR(D10/D8,0)</f>
        <v>0.57999999999999996</v>
      </c>
      <c r="E11" s="90">
        <f>IFERROR(E10/E8,0)</f>
        <v>0.6</v>
      </c>
      <c r="F11" s="90">
        <f>IFERROR(F10/F8,0)</f>
        <v>0.64</v>
      </c>
      <c r="G11" s="90">
        <f>IFERROR(G10/G8,0)</f>
        <v>0.6</v>
      </c>
      <c r="H11" s="91">
        <f>IFERROR(H10/H8,0)</f>
        <v>0.59786243570743614</v>
      </c>
      <c r="I11" s="3"/>
    </row>
    <row r="12" spans="2:9" ht="6" customHeight="1" x14ac:dyDescent="0.35">
      <c r="B12" s="3"/>
      <c r="C12" s="3"/>
      <c r="D12" s="3"/>
      <c r="E12" s="3"/>
      <c r="F12" s="3"/>
      <c r="G12" s="3"/>
      <c r="H12" s="3"/>
      <c r="I12" s="3"/>
    </row>
    <row r="13" spans="2:9" ht="18" customHeight="1" x14ac:dyDescent="0.35">
      <c r="B13" s="12" t="s">
        <v>348</v>
      </c>
      <c r="C13" s="12"/>
      <c r="D13" s="12"/>
      <c r="E13" s="12"/>
      <c r="F13" s="12"/>
      <c r="G13" s="12"/>
      <c r="H13" s="12"/>
      <c r="I13" s="12"/>
    </row>
    <row r="14" spans="2:9" ht="15" customHeight="1" x14ac:dyDescent="0.35">
      <c r="B14" s="25" t="s">
        <v>349</v>
      </c>
      <c r="C14" s="3"/>
      <c r="D14" s="33">
        <f>-D8*Assumptions!$C$34</f>
        <v>-8933.76</v>
      </c>
      <c r="E14" s="33">
        <f>-E8*Assumptions!$C$35</f>
        <v>-14546.400000000001</v>
      </c>
      <c r="F14" s="33">
        <f>-F8*Assumptions!$C$36</f>
        <v>-3317.4</v>
      </c>
      <c r="G14" s="3"/>
      <c r="H14" s="84">
        <f t="shared" ref="H14:H22" si="0">SUM(D14:G14)</f>
        <v>-26797.560000000005</v>
      </c>
      <c r="I14" s="3"/>
    </row>
    <row r="15" spans="2:9" ht="15" customHeight="1" x14ac:dyDescent="0.35">
      <c r="B15" s="25" t="s">
        <v>350</v>
      </c>
      <c r="C15" s="3"/>
      <c r="D15" s="3"/>
      <c r="E15" s="33">
        <f>-E8*Assumptions!$C$39</f>
        <v>-32604</v>
      </c>
      <c r="F15" s="3"/>
      <c r="G15" s="33">
        <f>-G8*Assumptions!$C$43</f>
        <v>-3060</v>
      </c>
      <c r="H15" s="84">
        <f t="shared" si="0"/>
        <v>-35664</v>
      </c>
      <c r="I15" s="3"/>
    </row>
    <row r="16" spans="2:9" ht="15" customHeight="1" x14ac:dyDescent="0.35">
      <c r="B16" s="25" t="s">
        <v>351</v>
      </c>
      <c r="C16" s="92">
        <f>Assumptions!$C$42</f>
        <v>0.3</v>
      </c>
      <c r="D16" s="3"/>
      <c r="E16" s="3"/>
      <c r="F16" s="3"/>
      <c r="G16" s="33">
        <f>-G8*Assumptions!$C$42</f>
        <v>-61200</v>
      </c>
      <c r="H16" s="84">
        <f t="shared" si="0"/>
        <v>-61200</v>
      </c>
      <c r="I16" s="3"/>
    </row>
    <row r="17" spans="2:9" ht="15" customHeight="1" x14ac:dyDescent="0.35">
      <c r="B17" s="25" t="s">
        <v>352</v>
      </c>
      <c r="C17" s="92">
        <f>Assumptions!$C$37</f>
        <v>0.03</v>
      </c>
      <c r="D17" s="33">
        <f>-D8*Assumptions!$C$37</f>
        <v>-14889.599999999999</v>
      </c>
      <c r="E17" s="3"/>
      <c r="F17" s="3"/>
      <c r="G17" s="3"/>
      <c r="H17" s="84">
        <f t="shared" si="0"/>
        <v>-14889.599999999999</v>
      </c>
      <c r="I17" s="3"/>
    </row>
    <row r="18" spans="2:9" ht="15" customHeight="1" x14ac:dyDescent="0.35">
      <c r="B18" s="25" t="s">
        <v>353</v>
      </c>
      <c r="C18" s="92">
        <f>Assumptions!$C$40</f>
        <v>0.09</v>
      </c>
      <c r="D18" s="3"/>
      <c r="E18" s="33">
        <f>-E8*Assumptions!$C$40</f>
        <v>-45144</v>
      </c>
      <c r="F18" s="3"/>
      <c r="G18" s="3"/>
      <c r="H18" s="84">
        <f t="shared" si="0"/>
        <v>-45144</v>
      </c>
      <c r="I18" s="3"/>
    </row>
    <row r="19" spans="2:9" ht="15" customHeight="1" x14ac:dyDescent="0.35">
      <c r="B19" s="25" t="s">
        <v>354</v>
      </c>
      <c r="C19" s="92">
        <f>Assumptions!$C$41</f>
        <v>0.18</v>
      </c>
      <c r="D19" s="3"/>
      <c r="E19" s="3"/>
      <c r="F19" s="33">
        <f>-F8*Assumptions!$C$41</f>
        <v>-31428</v>
      </c>
      <c r="G19" s="3"/>
      <c r="H19" s="84">
        <f t="shared" si="0"/>
        <v>-31428</v>
      </c>
      <c r="I19" s="3"/>
    </row>
    <row r="20" spans="2:9" ht="15" customHeight="1" x14ac:dyDescent="0.35">
      <c r="B20" s="25" t="s">
        <v>355</v>
      </c>
      <c r="C20" s="92">
        <f>Assumptions!$C$38</f>
        <v>8.0000000000000002E-3</v>
      </c>
      <c r="D20" s="33">
        <f>-D8*Assumptions!$C$38</f>
        <v>-3970.56</v>
      </c>
      <c r="E20" s="3"/>
      <c r="F20" s="3"/>
      <c r="G20" s="3"/>
      <c r="H20" s="84">
        <f t="shared" si="0"/>
        <v>-3970.56</v>
      </c>
      <c r="I20" s="3"/>
    </row>
    <row r="21" spans="2:9" ht="15" customHeight="1" x14ac:dyDescent="0.35">
      <c r="B21" s="93" t="s">
        <v>356</v>
      </c>
      <c r="C21" s="3"/>
      <c r="D21" s="94">
        <f>SUM(D14:D20)</f>
        <v>-27793.920000000002</v>
      </c>
      <c r="E21" s="94">
        <f>SUM(E14:E20)</f>
        <v>-92294.399999999994</v>
      </c>
      <c r="F21" s="94">
        <f>SUM(F14:F20)</f>
        <v>-34745.4</v>
      </c>
      <c r="G21" s="94">
        <f>SUM(G14:G20)</f>
        <v>-64260</v>
      </c>
      <c r="H21" s="95">
        <f t="shared" si="0"/>
        <v>-219093.72</v>
      </c>
      <c r="I21" s="85">
        <f>IFERROR(H21/$H$8,0)</f>
        <v>-0.15916493766890419</v>
      </c>
    </row>
    <row r="22" spans="2:9" ht="16.5" customHeight="1" x14ac:dyDescent="0.35">
      <c r="B22" s="86" t="s">
        <v>357</v>
      </c>
      <c r="C22" s="87"/>
      <c r="D22" s="58">
        <f>D10+D21</f>
        <v>260071.67999999996</v>
      </c>
      <c r="E22" s="58">
        <f>E10+E21</f>
        <v>208665.60000000001</v>
      </c>
      <c r="F22" s="58">
        <f>F10+F21</f>
        <v>76998.600000000006</v>
      </c>
      <c r="G22" s="58">
        <f>G10+G21</f>
        <v>58140</v>
      </c>
      <c r="H22" s="88">
        <f t="shared" si="0"/>
        <v>603875.88</v>
      </c>
      <c r="I22" s="89">
        <f>IFERROR(H22/$H$8,0)</f>
        <v>0.43869749803853197</v>
      </c>
    </row>
    <row r="23" spans="2:9" ht="15" customHeight="1" x14ac:dyDescent="0.35">
      <c r="B23" s="25" t="s">
        <v>358</v>
      </c>
      <c r="C23" s="3"/>
      <c r="D23" s="90">
        <f>IFERROR(D22/D8,0)</f>
        <v>0.52399999999999991</v>
      </c>
      <c r="E23" s="90">
        <f>IFERROR(E22/E8,0)</f>
        <v>0.41600000000000004</v>
      </c>
      <c r="F23" s="90">
        <f>IFERROR(F22/F8,0)</f>
        <v>0.44100000000000006</v>
      </c>
      <c r="G23" s="90">
        <f>IFERROR(G22/G8,0)</f>
        <v>0.28499999999999998</v>
      </c>
      <c r="H23" s="91">
        <f>IFERROR(H22/H8,0)</f>
        <v>0.43869749803853197</v>
      </c>
      <c r="I23" s="3"/>
    </row>
    <row r="24" spans="2:9" ht="6" customHeight="1" x14ac:dyDescent="0.35">
      <c r="B24" s="3"/>
      <c r="C24" s="3"/>
      <c r="D24" s="3"/>
      <c r="E24" s="3"/>
      <c r="F24" s="3"/>
      <c r="G24" s="3"/>
      <c r="H24" s="3"/>
      <c r="I24" s="3"/>
    </row>
    <row r="25" spans="2:9" ht="18" customHeight="1" x14ac:dyDescent="0.35">
      <c r="B25" s="12" t="s">
        <v>359</v>
      </c>
      <c r="C25" s="12"/>
      <c r="D25" s="12"/>
      <c r="E25" s="12"/>
      <c r="F25" s="12"/>
      <c r="G25" s="12"/>
      <c r="H25" s="12"/>
      <c r="I25" s="12"/>
    </row>
    <row r="26" spans="2:9" ht="15" customHeight="1" x14ac:dyDescent="0.35">
      <c r="B26" s="25" t="s">
        <v>116</v>
      </c>
      <c r="C26" s="3"/>
      <c r="D26" s="33">
        <f>-Assumptions!$C$46*$C$4</f>
        <v>-132000</v>
      </c>
      <c r="E26" s="3"/>
      <c r="F26" s="3"/>
      <c r="G26" s="3"/>
      <c r="H26" s="84">
        <f t="shared" ref="H26:H34" si="1">SUM(D26:G26)</f>
        <v>-132000</v>
      </c>
      <c r="I26" s="3"/>
    </row>
    <row r="27" spans="2:9" ht="15" customHeight="1" x14ac:dyDescent="0.35">
      <c r="B27" s="25" t="s">
        <v>360</v>
      </c>
      <c r="C27" s="3"/>
      <c r="D27" s="33">
        <f>-Assumptions!$C$47*$C$4</f>
        <v>-111000</v>
      </c>
      <c r="E27" s="3"/>
      <c r="F27" s="3"/>
      <c r="G27" s="3"/>
      <c r="H27" s="84">
        <f t="shared" si="1"/>
        <v>-111000</v>
      </c>
      <c r="I27" s="3"/>
    </row>
    <row r="28" spans="2:9" ht="15" customHeight="1" x14ac:dyDescent="0.35">
      <c r="B28" s="25" t="s">
        <v>120</v>
      </c>
      <c r="C28" s="3"/>
      <c r="D28" s="33">
        <f>-Assumptions!$C$48*$C$4</f>
        <v>-15600</v>
      </c>
      <c r="E28" s="3"/>
      <c r="F28" s="3"/>
      <c r="G28" s="3"/>
      <c r="H28" s="84">
        <f t="shared" si="1"/>
        <v>-15600</v>
      </c>
      <c r="I28" s="3"/>
    </row>
    <row r="29" spans="2:9" ht="15" customHeight="1" x14ac:dyDescent="0.35">
      <c r="B29" s="25" t="s">
        <v>121</v>
      </c>
      <c r="C29" s="3"/>
      <c r="D29" s="33">
        <f>-Assumptions!$C$49*$C$4</f>
        <v>-2700</v>
      </c>
      <c r="E29" s="3"/>
      <c r="F29" s="3"/>
      <c r="G29" s="3"/>
      <c r="H29" s="84">
        <f t="shared" si="1"/>
        <v>-2700</v>
      </c>
      <c r="I29" s="3"/>
    </row>
    <row r="30" spans="2:9" ht="15" customHeight="1" x14ac:dyDescent="0.35">
      <c r="B30" s="25" t="s">
        <v>122</v>
      </c>
      <c r="C30" s="3"/>
      <c r="D30" s="33">
        <f>-Assumptions!$C$50*$C$4</f>
        <v>-5400</v>
      </c>
      <c r="E30" s="3"/>
      <c r="F30" s="3"/>
      <c r="G30" s="3"/>
      <c r="H30" s="84">
        <f t="shared" si="1"/>
        <v>-5400</v>
      </c>
      <c r="I30" s="3"/>
    </row>
    <row r="31" spans="2:9" ht="15" customHeight="1" x14ac:dyDescent="0.35">
      <c r="B31" s="25" t="s">
        <v>125</v>
      </c>
      <c r="C31" s="3"/>
      <c r="D31" s="3"/>
      <c r="E31" s="33">
        <f>-Assumptions!$C$54*$C$4</f>
        <v>-6600</v>
      </c>
      <c r="F31" s="3"/>
      <c r="G31" s="3"/>
      <c r="H31" s="84">
        <f t="shared" si="1"/>
        <v>-6600</v>
      </c>
      <c r="I31" s="3"/>
    </row>
    <row r="32" spans="2:9" ht="15" customHeight="1" x14ac:dyDescent="0.35">
      <c r="B32" s="25" t="s">
        <v>126</v>
      </c>
      <c r="C32" s="3"/>
      <c r="D32" s="3"/>
      <c r="E32" s="33">
        <f>-Assumptions!$C$55*$C$4</f>
        <v>-31200</v>
      </c>
      <c r="F32" s="3"/>
      <c r="G32" s="3"/>
      <c r="H32" s="84">
        <f t="shared" si="1"/>
        <v>-31200</v>
      </c>
      <c r="I32" s="3"/>
    </row>
    <row r="33" spans="2:9" ht="15" customHeight="1" x14ac:dyDescent="0.35">
      <c r="B33" s="93" t="s">
        <v>361</v>
      </c>
      <c r="C33" s="3"/>
      <c r="D33" s="94">
        <f>SUM(D26:D32)</f>
        <v>-266700</v>
      </c>
      <c r="E33" s="94">
        <f>SUM(E26:E32)</f>
        <v>-37800</v>
      </c>
      <c r="F33" s="94">
        <f>SUM(F26:F32)</f>
        <v>0</v>
      </c>
      <c r="G33" s="94">
        <f>SUM(G26:G32)</f>
        <v>0</v>
      </c>
      <c r="H33" s="95">
        <f t="shared" si="1"/>
        <v>-304500</v>
      </c>
      <c r="I33" s="85">
        <f>IFERROR(H33/$H$8,0)</f>
        <v>-0.22121000784587219</v>
      </c>
    </row>
    <row r="34" spans="2:9" ht="16.5" customHeight="1" x14ac:dyDescent="0.35">
      <c r="B34" s="86" t="s">
        <v>362</v>
      </c>
      <c r="C34" s="87"/>
      <c r="D34" s="58">
        <f>D22+D33</f>
        <v>-6628.3200000000361</v>
      </c>
      <c r="E34" s="58">
        <f>E22+E33</f>
        <v>170865.6</v>
      </c>
      <c r="F34" s="58">
        <f>F22+F33</f>
        <v>76998.600000000006</v>
      </c>
      <c r="G34" s="58">
        <f>G22+G33</f>
        <v>58140</v>
      </c>
      <c r="H34" s="88">
        <f t="shared" si="1"/>
        <v>299375.88</v>
      </c>
      <c r="I34" s="89">
        <f>IFERROR(H34/$H$8,0)</f>
        <v>0.21748749019265975</v>
      </c>
    </row>
    <row r="35" spans="2:9" ht="15" customHeight="1" x14ac:dyDescent="0.35">
      <c r="B35" s="25" t="s">
        <v>363</v>
      </c>
      <c r="C35" s="3"/>
      <c r="D35" s="90">
        <f>IFERROR(D34/D8,0)</f>
        <v>-1.3354932301740886E-2</v>
      </c>
      <c r="E35" s="90">
        <f>IFERROR(E34/E8,0)</f>
        <v>0.34064114832535886</v>
      </c>
      <c r="F35" s="90">
        <f>IFERROR(F34/F8,0)</f>
        <v>0.44100000000000006</v>
      </c>
      <c r="G35" s="90">
        <f>IFERROR(G34/G8,0)</f>
        <v>0.28499999999999998</v>
      </c>
      <c r="H35" s="91">
        <f>IFERROR(H34/H8,0)</f>
        <v>0.21748749019265975</v>
      </c>
      <c r="I35" s="3"/>
    </row>
    <row r="36" spans="2:9" ht="6" customHeight="1" x14ac:dyDescent="0.35">
      <c r="B36" s="3"/>
      <c r="C36" s="3"/>
      <c r="D36" s="3"/>
      <c r="E36" s="3"/>
      <c r="F36" s="3"/>
      <c r="G36" s="3"/>
      <c r="H36" s="3"/>
      <c r="I36" s="3"/>
    </row>
    <row r="37" spans="2:9" ht="18" customHeight="1" x14ac:dyDescent="0.35">
      <c r="B37" s="12" t="s">
        <v>364</v>
      </c>
      <c r="C37" s="12"/>
      <c r="D37" s="12"/>
      <c r="E37" s="12"/>
      <c r="F37" s="12"/>
      <c r="G37" s="12"/>
      <c r="H37" s="12"/>
      <c r="I37" s="12"/>
    </row>
    <row r="38" spans="2:9" ht="15" customHeight="1" x14ac:dyDescent="0.35">
      <c r="B38" s="25" t="s">
        <v>129</v>
      </c>
      <c r="C38" s="3"/>
      <c r="D38" s="3"/>
      <c r="E38" s="3"/>
      <c r="F38" s="3"/>
      <c r="G38" s="3"/>
      <c r="H38" s="84">
        <f>-Assumptions!$C$59*$C$4</f>
        <v>-126000</v>
      </c>
      <c r="I38" s="3"/>
    </row>
    <row r="39" spans="2:9" ht="15" customHeight="1" x14ac:dyDescent="0.35">
      <c r="B39" s="25" t="s">
        <v>282</v>
      </c>
      <c r="C39" s="3"/>
      <c r="D39" s="3"/>
      <c r="E39" s="3"/>
      <c r="F39" s="3"/>
      <c r="G39" s="3"/>
      <c r="H39" s="84">
        <f>-Assumptions!$C$60*$C$4</f>
        <v>-10800</v>
      </c>
      <c r="I39" s="3"/>
    </row>
    <row r="40" spans="2:9" ht="15" customHeight="1" x14ac:dyDescent="0.35">
      <c r="B40" s="25" t="s">
        <v>365</v>
      </c>
      <c r="C40" s="3"/>
      <c r="D40" s="3"/>
      <c r="E40" s="3"/>
      <c r="F40" s="3"/>
      <c r="G40" s="3"/>
      <c r="H40" s="84">
        <f>-Assumptions!$C$61*$C$4</f>
        <v>-5400</v>
      </c>
      <c r="I40" s="3"/>
    </row>
    <row r="41" spans="2:9" ht="15" customHeight="1" x14ac:dyDescent="0.35">
      <c r="B41" s="25" t="s">
        <v>132</v>
      </c>
      <c r="C41" s="3"/>
      <c r="D41" s="3"/>
      <c r="E41" s="3"/>
      <c r="F41" s="3"/>
      <c r="G41" s="3"/>
      <c r="H41" s="84">
        <f>-Assumptions!$C$62*$C$4</f>
        <v>-27000</v>
      </c>
      <c r="I41" s="3"/>
    </row>
    <row r="42" spans="2:9" ht="15" customHeight="1" x14ac:dyDescent="0.35">
      <c r="B42" s="25" t="s">
        <v>133</v>
      </c>
      <c r="C42" s="3"/>
      <c r="D42" s="3"/>
      <c r="E42" s="3"/>
      <c r="F42" s="3"/>
      <c r="G42" s="3"/>
      <c r="H42" s="84">
        <f>-Assumptions!$C$63*$C$4</f>
        <v>-9000</v>
      </c>
      <c r="I42" s="3"/>
    </row>
    <row r="43" spans="2:9" ht="15" customHeight="1" x14ac:dyDescent="0.35">
      <c r="B43" s="93" t="s">
        <v>134</v>
      </c>
      <c r="C43" s="3"/>
      <c r="D43" s="96"/>
      <c r="E43" s="96"/>
      <c r="F43" s="96"/>
      <c r="G43" s="96"/>
      <c r="H43" s="95">
        <f>SUM(H38:H42)</f>
        <v>-178200</v>
      </c>
      <c r="I43" s="85">
        <f>IFERROR(H43/$H$8,0)</f>
        <v>-0.12945689129108187</v>
      </c>
    </row>
    <row r="44" spans="2:9" ht="6" customHeight="1" x14ac:dyDescent="0.35">
      <c r="B44" s="3"/>
      <c r="C44" s="3"/>
      <c r="D44" s="3"/>
      <c r="E44" s="3"/>
      <c r="F44" s="3"/>
      <c r="G44" s="3"/>
      <c r="H44" s="3"/>
      <c r="I44" s="3"/>
    </row>
    <row r="45" spans="2:9" ht="16.5" customHeight="1" x14ac:dyDescent="0.35">
      <c r="B45" s="97" t="s">
        <v>366</v>
      </c>
      <c r="C45" s="87"/>
      <c r="D45" s="98"/>
      <c r="E45" s="98"/>
      <c r="F45" s="98"/>
      <c r="G45" s="98"/>
      <c r="H45" s="88">
        <f>H34+H43</f>
        <v>121175.88</v>
      </c>
      <c r="I45" s="89">
        <f>IFERROR(H45/$H$8,0)</f>
        <v>8.8030598901577897E-2</v>
      </c>
    </row>
    <row r="46" spans="2:9" ht="15" customHeight="1" x14ac:dyDescent="0.35">
      <c r="B46" s="93" t="s">
        <v>367</v>
      </c>
      <c r="C46" s="3"/>
      <c r="D46" s="3"/>
      <c r="E46" s="3"/>
      <c r="F46" s="3"/>
      <c r="G46" s="3"/>
      <c r="H46" s="91">
        <f>IFERROR(H45/H8,0)</f>
        <v>8.8030598901577897E-2</v>
      </c>
      <c r="I46" s="3"/>
    </row>
    <row r="47" spans="2:9" ht="6" customHeight="1" x14ac:dyDescent="0.35">
      <c r="B47" s="3"/>
      <c r="C47" s="3"/>
      <c r="D47" s="3"/>
      <c r="E47" s="3"/>
      <c r="F47" s="3"/>
      <c r="G47" s="3"/>
      <c r="H47" s="3"/>
      <c r="I47" s="3"/>
    </row>
    <row r="48" spans="2:9" ht="18" customHeight="1" x14ac:dyDescent="0.35">
      <c r="B48" s="12" t="s">
        <v>368</v>
      </c>
      <c r="C48" s="12"/>
      <c r="D48" s="12"/>
      <c r="E48" s="12"/>
      <c r="F48" s="12"/>
      <c r="G48" s="12"/>
      <c r="H48" s="12"/>
      <c r="I48" s="12"/>
    </row>
    <row r="49" spans="2:9" ht="15" customHeight="1" x14ac:dyDescent="0.35">
      <c r="B49" s="25" t="s">
        <v>369</v>
      </c>
      <c r="C49" s="3"/>
      <c r="D49" s="90">
        <f>IFERROR(D8/$H$8,0)</f>
        <v>0.36056141574405021</v>
      </c>
      <c r="E49" s="90">
        <f>IFERROR(E8/$H$8,0)</f>
        <v>0.3643971754860082</v>
      </c>
      <c r="F49" s="90">
        <f>IFERROR(F8/$H$8,0)</f>
        <v>0.1268416005579287</v>
      </c>
      <c r="G49" s="90">
        <f>IFERROR(G8/$H$8,0)</f>
        <v>0.1481998082120129</v>
      </c>
      <c r="H49" s="91">
        <f>SUM(D49:G49)</f>
        <v>1</v>
      </c>
      <c r="I49" s="3"/>
    </row>
    <row r="50" spans="2:9" ht="15" customHeight="1" x14ac:dyDescent="0.35">
      <c r="B50" s="25" t="s">
        <v>370</v>
      </c>
      <c r="C50" s="3"/>
      <c r="D50" s="33">
        <f>$H$43*D49</f>
        <v>-64252.044285589749</v>
      </c>
      <c r="E50" s="33">
        <f>$H$43*E49</f>
        <v>-64935.576671606657</v>
      </c>
      <c r="F50" s="33">
        <f>$H$43*F49</f>
        <v>-22603.173219422893</v>
      </c>
      <c r="G50" s="33">
        <f>$H$43*G49</f>
        <v>-26409.205823380697</v>
      </c>
      <c r="H50" s="84">
        <f>SUM(D50:G50)</f>
        <v>-178200</v>
      </c>
      <c r="I50" s="3"/>
    </row>
    <row r="51" spans="2:9" ht="15" customHeight="1" x14ac:dyDescent="0.35">
      <c r="B51" s="25" t="s">
        <v>371</v>
      </c>
      <c r="C51" s="3"/>
      <c r="D51" s="99">
        <f>D34+D50</f>
        <v>-70880.364285589778</v>
      </c>
      <c r="E51" s="99">
        <f>E34+E50</f>
        <v>105930.02332839335</v>
      </c>
      <c r="F51" s="99">
        <f>F34+F50</f>
        <v>54395.426780577109</v>
      </c>
      <c r="G51" s="99">
        <f>G34+G50</f>
        <v>31730.794176619303</v>
      </c>
      <c r="H51" s="100">
        <f>SUM(D51:G51)</f>
        <v>121175.87999999998</v>
      </c>
      <c r="I51" s="3"/>
    </row>
    <row r="52" spans="2:9" ht="15" customHeight="1" x14ac:dyDescent="0.35">
      <c r="B52" s="1" t="s">
        <v>372</v>
      </c>
      <c r="C52" s="3"/>
      <c r="D52" s="3"/>
      <c r="E52" s="3"/>
      <c r="F52" s="3"/>
      <c r="G52" s="3"/>
      <c r="H52" s="101">
        <f>H50-H43</f>
        <v>0</v>
      </c>
      <c r="I52" s="3"/>
    </row>
    <row r="53" spans="2:9" ht="6" customHeight="1" x14ac:dyDescent="0.35">
      <c r="B53" s="3"/>
      <c r="C53" s="3"/>
      <c r="D53" s="3"/>
      <c r="E53" s="3"/>
      <c r="F53" s="3"/>
      <c r="G53" s="3"/>
      <c r="H53" s="3"/>
      <c r="I53" s="3"/>
    </row>
    <row r="54" spans="2:9" ht="18" customHeight="1" x14ac:dyDescent="0.35">
      <c r="B54" s="12" t="s">
        <v>373</v>
      </c>
      <c r="C54" s="12"/>
      <c r="D54" s="12"/>
      <c r="E54" s="12"/>
      <c r="F54" s="12"/>
      <c r="G54" s="12"/>
      <c r="H54" s="12"/>
      <c r="I54" s="12"/>
    </row>
    <row r="55" spans="2:9" ht="15" customHeight="1" x14ac:dyDescent="0.35">
      <c r="B55" s="25" t="s">
        <v>374</v>
      </c>
      <c r="C55" s="3"/>
      <c r="D55" s="33">
        <f t="shared" ref="D55:G56" si="2">D8/$C$4</f>
        <v>82720</v>
      </c>
      <c r="E55" s="33">
        <f t="shared" si="2"/>
        <v>83600</v>
      </c>
      <c r="F55" s="33">
        <f t="shared" si="2"/>
        <v>29100</v>
      </c>
      <c r="G55" s="33">
        <f t="shared" si="2"/>
        <v>34000</v>
      </c>
      <c r="H55" s="84">
        <f t="shared" ref="H55:H60" si="3">SUM(D55:G55)</f>
        <v>229420</v>
      </c>
      <c r="I55" s="3"/>
    </row>
    <row r="56" spans="2:9" ht="15" customHeight="1" x14ac:dyDescent="0.35">
      <c r="B56" s="25" t="s">
        <v>375</v>
      </c>
      <c r="C56" s="3"/>
      <c r="D56" s="33">
        <f t="shared" si="2"/>
        <v>-34742.400000000001</v>
      </c>
      <c r="E56" s="33">
        <f t="shared" si="2"/>
        <v>-33440</v>
      </c>
      <c r="F56" s="33">
        <f t="shared" si="2"/>
        <v>-10476</v>
      </c>
      <c r="G56" s="33">
        <f t="shared" si="2"/>
        <v>-13600</v>
      </c>
      <c r="H56" s="84">
        <f t="shared" si="3"/>
        <v>-92258.4</v>
      </c>
      <c r="I56" s="3"/>
    </row>
    <row r="57" spans="2:9" ht="15" customHeight="1" x14ac:dyDescent="0.35">
      <c r="B57" s="25" t="s">
        <v>376</v>
      </c>
      <c r="C57" s="3"/>
      <c r="D57" s="33">
        <f t="shared" ref="D57:G58" si="4">D21/$C$4</f>
        <v>-4632.3200000000006</v>
      </c>
      <c r="E57" s="33">
        <f t="shared" si="4"/>
        <v>-15382.4</v>
      </c>
      <c r="F57" s="33">
        <f t="shared" si="4"/>
        <v>-5790.9000000000005</v>
      </c>
      <c r="G57" s="33">
        <f t="shared" si="4"/>
        <v>-10710</v>
      </c>
      <c r="H57" s="84">
        <f t="shared" si="3"/>
        <v>-36515.620000000003</v>
      </c>
      <c r="I57" s="3"/>
    </row>
    <row r="58" spans="2:9" ht="15" customHeight="1" x14ac:dyDescent="0.35">
      <c r="B58" s="25" t="s">
        <v>377</v>
      </c>
      <c r="C58" s="3"/>
      <c r="D58" s="33">
        <f t="shared" si="4"/>
        <v>43345.279999999992</v>
      </c>
      <c r="E58" s="33">
        <f t="shared" si="4"/>
        <v>34777.599999999999</v>
      </c>
      <c r="F58" s="33">
        <f t="shared" si="4"/>
        <v>12833.1</v>
      </c>
      <c r="G58" s="33">
        <f t="shared" si="4"/>
        <v>9690</v>
      </c>
      <c r="H58" s="84">
        <f t="shared" si="3"/>
        <v>100645.98</v>
      </c>
      <c r="I58" s="3"/>
    </row>
    <row r="59" spans="2:9" ht="15" customHeight="1" x14ac:dyDescent="0.35">
      <c r="B59" s="25" t="s">
        <v>378</v>
      </c>
      <c r="C59" s="3"/>
      <c r="D59" s="33">
        <f t="shared" ref="D59:G60" si="5">D33/$C$4</f>
        <v>-44450</v>
      </c>
      <c r="E59" s="33">
        <f t="shared" si="5"/>
        <v>-6300</v>
      </c>
      <c r="F59" s="33">
        <f t="shared" si="5"/>
        <v>0</v>
      </c>
      <c r="G59" s="33">
        <f t="shared" si="5"/>
        <v>0</v>
      </c>
      <c r="H59" s="84">
        <f t="shared" si="3"/>
        <v>-50750</v>
      </c>
      <c r="I59" s="3"/>
    </row>
    <row r="60" spans="2:9" ht="15" customHeight="1" x14ac:dyDescent="0.35">
      <c r="B60" s="25" t="s">
        <v>379</v>
      </c>
      <c r="C60" s="3"/>
      <c r="D60" s="99">
        <f t="shared" si="5"/>
        <v>-1104.7200000000059</v>
      </c>
      <c r="E60" s="99">
        <f t="shared" si="5"/>
        <v>28477.600000000002</v>
      </c>
      <c r="F60" s="99">
        <f t="shared" si="5"/>
        <v>12833.1</v>
      </c>
      <c r="G60" s="99">
        <f t="shared" si="5"/>
        <v>9690</v>
      </c>
      <c r="H60" s="100">
        <f t="shared" si="3"/>
        <v>49895.979999999996</v>
      </c>
      <c r="I60" s="3"/>
    </row>
    <row r="61" spans="2:9" ht="15" customHeight="1" x14ac:dyDescent="0.35">
      <c r="B61" s="3"/>
      <c r="C61" s="3"/>
      <c r="D61" s="3"/>
      <c r="E61" s="3"/>
      <c r="F61" s="3"/>
      <c r="G61" s="3"/>
      <c r="H61" s="3"/>
      <c r="I61" s="3"/>
    </row>
    <row r="62" spans="2:9" ht="39.75" customHeight="1" x14ac:dyDescent="0.35">
      <c r="B62" s="195" t="s">
        <v>380</v>
      </c>
      <c r="C62" s="195"/>
      <c r="D62" s="195"/>
      <c r="E62" s="195"/>
      <c r="F62" s="195"/>
      <c r="G62" s="195"/>
      <c r="H62" s="195"/>
      <c r="I62" s="195"/>
    </row>
  </sheetData>
  <mergeCells count="1">
    <mergeCell ref="B62:I62"/>
  </mergeCells>
  <conditionalFormatting sqref="D34:G34">
    <cfRule type="cellIs" dxfId="11" priority="2" operator="lessThan">
      <formula>0</formula>
    </cfRule>
  </conditionalFormatting>
  <conditionalFormatting sqref="D51:G51">
    <cfRule type="cellIs" dxfId="10" priority="3" operator="lessThan">
      <formula>0</formula>
    </cfRule>
  </conditionalFormatting>
  <hyperlinks>
    <hyperlink ref="I3" location="'Dashboard'!A1" display="Back to Dashboard" xr:uid="{00000000-0004-0000-0300-000000000000}"/>
  </hyperlinks>
  <pageMargins left="0.35" right="0.35" top="0.45" bottom="0.45" header="0.511811023622047" footer="0.25"/>
  <pageSetup paperSize="9" fitToHeight="0" orientation="landscape" horizontalDpi="300" verticalDpi="300"/>
  <headerFooter>
    <oddFooter>&amp;L&amp;8 &amp;K808080Atelier North Pte. Ltd.  ·  synthetic FP&amp;&amp;A portfolio model&amp;R&amp;8 &amp;K808080&amp;A  ·  &amp;P / &amp;N</oddFooter>
  </headerFooter>
  <rowBreaks count="1" manualBreakCount="1">
    <brk id="46"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2F4B"/>
    <pageSetUpPr fitToPage="1"/>
  </sheetPr>
  <dimension ref="B1:I72"/>
  <sheetViews>
    <sheetView showGridLines="0" zoomScale="85" zoomScaleNormal="85" workbookViewId="0">
      <pane xSplit="1" ySplit="4" topLeftCell="B5" activePane="bottomRight" state="frozen"/>
      <selection pane="topRight" activeCell="B1" sqref="B1"/>
      <selection pane="bottomLeft" activeCell="A5" sqref="A5"/>
      <selection pane="bottomRight" activeCell="B2" sqref="B2"/>
    </sheetView>
  </sheetViews>
  <sheetFormatPr defaultColWidth="8.54296875" defaultRowHeight="14.5" x14ac:dyDescent="0.35"/>
  <cols>
    <col min="1" max="1" width="1.6328125" customWidth="1"/>
    <col min="2" max="2" width="46" customWidth="1"/>
    <col min="3" max="9" width="15" customWidth="1"/>
  </cols>
  <sheetData>
    <row r="1" spans="2:9" ht="9" customHeight="1" x14ac:dyDescent="0.35"/>
    <row r="2" spans="2:9" ht="26" customHeight="1" x14ac:dyDescent="0.35">
      <c r="B2" s="173" t="s">
        <v>0</v>
      </c>
      <c r="C2" s="175"/>
      <c r="D2" s="175"/>
      <c r="E2" s="175"/>
      <c r="F2" s="175"/>
      <c r="G2" s="175"/>
      <c r="H2" s="175"/>
      <c r="I2" s="174" t="s">
        <v>1</v>
      </c>
    </row>
    <row r="3" spans="2:9" ht="20" customHeight="1" x14ac:dyDescent="0.35">
      <c r="B3" s="176" t="s">
        <v>381</v>
      </c>
      <c r="C3" s="177"/>
      <c r="D3" s="177"/>
      <c r="E3" s="177"/>
      <c r="F3" s="177"/>
      <c r="G3" s="177"/>
      <c r="H3" s="177"/>
      <c r="I3" s="178" t="s">
        <v>60</v>
      </c>
    </row>
    <row r="4" spans="2:9" ht="18" customHeight="1" x14ac:dyDescent="0.35">
      <c r="B4" s="3"/>
      <c r="C4" s="3"/>
      <c r="D4" s="3"/>
      <c r="E4" s="3"/>
      <c r="F4" s="12" t="s">
        <v>382</v>
      </c>
      <c r="G4" s="12"/>
      <c r="H4" s="12"/>
      <c r="I4" s="12"/>
    </row>
    <row r="5" spans="2:9" ht="13.5" customHeight="1" x14ac:dyDescent="0.35">
      <c r="B5" s="12" t="s">
        <v>383</v>
      </c>
      <c r="C5" s="12"/>
      <c r="D5" s="12"/>
      <c r="E5" s="12"/>
      <c r="F5" s="102" t="s">
        <v>384</v>
      </c>
      <c r="G5" s="103"/>
      <c r="H5" s="102" t="s">
        <v>385</v>
      </c>
      <c r="I5" s="103"/>
    </row>
    <row r="6" spans="2:9" ht="21.75" customHeight="1" x14ac:dyDescent="0.35">
      <c r="B6" s="25" t="s">
        <v>386</v>
      </c>
      <c r="C6" s="3"/>
      <c r="D6" s="83">
        <f>'Channel Profitability'!$D$55</f>
        <v>82720</v>
      </c>
      <c r="E6" s="21"/>
      <c r="F6" s="196">
        <f>$D$34</f>
        <v>82720</v>
      </c>
      <c r="G6" s="196"/>
      <c r="H6" s="196">
        <f>$D$32</f>
        <v>84828.244274809156</v>
      </c>
      <c r="I6" s="196"/>
    </row>
    <row r="7" spans="2:9" ht="13.5" customHeight="1" x14ac:dyDescent="0.35">
      <c r="B7" s="25" t="s">
        <v>327</v>
      </c>
      <c r="C7" s="3"/>
      <c r="D7" s="83">
        <f>'Channel Profitability'!$D$56</f>
        <v>-34742.400000000001</v>
      </c>
      <c r="E7" s="3"/>
      <c r="F7" s="104" t="s">
        <v>387</v>
      </c>
      <c r="G7" s="105"/>
      <c r="H7" s="104" t="s">
        <v>388</v>
      </c>
      <c r="I7" s="105"/>
    </row>
    <row r="8" spans="2:9" ht="16.5" customHeight="1" x14ac:dyDescent="0.35">
      <c r="B8" s="62" t="s">
        <v>346</v>
      </c>
      <c r="C8" s="3"/>
      <c r="D8" s="106">
        <f>D6+D7</f>
        <v>47977.599999999999</v>
      </c>
      <c r="E8" s="3"/>
      <c r="F8" s="3"/>
      <c r="G8" s="3"/>
      <c r="H8" s="3"/>
      <c r="I8" s="3"/>
    </row>
    <row r="9" spans="2:9" ht="13.5" customHeight="1" x14ac:dyDescent="0.35">
      <c r="B9" s="25" t="s">
        <v>347</v>
      </c>
      <c r="C9" s="3"/>
      <c r="D9" s="90">
        <f>IFERROR(D8/D6,0)</f>
        <v>0.57999999999999996</v>
      </c>
      <c r="E9" s="3"/>
      <c r="F9" s="102" t="s">
        <v>389</v>
      </c>
      <c r="G9" s="107"/>
      <c r="H9" s="102" t="s">
        <v>390</v>
      </c>
      <c r="I9" s="107"/>
    </row>
    <row r="10" spans="2:9" ht="21.75" customHeight="1" x14ac:dyDescent="0.35">
      <c r="B10" s="3"/>
      <c r="C10" s="3"/>
      <c r="D10" s="3"/>
      <c r="E10" s="3"/>
      <c r="F10" s="196">
        <f>$D$35</f>
        <v>-2108.2442748091562</v>
      </c>
      <c r="G10" s="196"/>
      <c r="H10" s="197">
        <f>$D$36</f>
        <v>-2.5486512026222874E-2</v>
      </c>
      <c r="I10" s="197"/>
    </row>
    <row r="11" spans="2:9" ht="13.5" customHeight="1" x14ac:dyDescent="0.35">
      <c r="B11" s="74" t="s">
        <v>391</v>
      </c>
      <c r="C11" s="74"/>
      <c r="D11" s="74"/>
      <c r="E11" s="74"/>
      <c r="F11" s="104" t="str">
        <f>"or "&amp;TEXT($D$37,"0.0%")&amp;" more sales per month"</f>
        <v>or 2.5% more sales per month</v>
      </c>
      <c r="G11" s="108"/>
      <c r="H11" s="104" t="s">
        <v>392</v>
      </c>
      <c r="I11" s="108"/>
    </row>
    <row r="12" spans="2:9" ht="15" customHeight="1" x14ac:dyDescent="0.35">
      <c r="B12" s="25" t="s">
        <v>349</v>
      </c>
      <c r="C12" s="3"/>
      <c r="D12" s="33">
        <f>-D6*Assumptions!$C$34</f>
        <v>-1488.9599999999998</v>
      </c>
      <c r="E12" s="3"/>
      <c r="F12" s="3"/>
      <c r="G12" s="3"/>
      <c r="H12" s="3"/>
      <c r="I12" s="3"/>
    </row>
    <row r="13" spans="2:9" ht="13.5" customHeight="1" x14ac:dyDescent="0.35">
      <c r="B13" s="25" t="s">
        <v>393</v>
      </c>
      <c r="C13" s="3"/>
      <c r="D13" s="33">
        <f>-D6*Assumptions!$C$37</f>
        <v>-2481.6</v>
      </c>
      <c r="E13" s="3"/>
      <c r="F13" s="102" t="s">
        <v>394</v>
      </c>
      <c r="G13" s="107"/>
      <c r="H13" s="102" t="s">
        <v>395</v>
      </c>
      <c r="I13" s="107"/>
    </row>
    <row r="14" spans="2:9" ht="21.75" customHeight="1" x14ac:dyDescent="0.35">
      <c r="B14" s="25" t="s">
        <v>355</v>
      </c>
      <c r="C14" s="3"/>
      <c r="D14" s="33">
        <f>-D6*Assumptions!$C$38</f>
        <v>-661.76</v>
      </c>
      <c r="E14" s="3"/>
      <c r="F14" s="197">
        <f>$D$18</f>
        <v>0.52400000000000002</v>
      </c>
      <c r="G14" s="197"/>
      <c r="H14" s="196">
        <f>$D$28</f>
        <v>-1104.7200000000012</v>
      </c>
      <c r="I14" s="196"/>
    </row>
    <row r="15" spans="2:9" ht="13.5" customHeight="1" x14ac:dyDescent="0.35">
      <c r="B15" s="25" t="s">
        <v>396</v>
      </c>
      <c r="C15" s="3"/>
      <c r="D15" s="94">
        <f>SUM(D12:D14)</f>
        <v>-4632.32</v>
      </c>
      <c r="E15" s="3"/>
      <c r="F15" s="104" t="s">
        <v>397</v>
      </c>
      <c r="G15" s="105"/>
      <c r="H15" s="104" t="s">
        <v>398</v>
      </c>
      <c r="I15" s="105"/>
    </row>
    <row r="16" spans="2:9" ht="15" customHeight="1" x14ac:dyDescent="0.35">
      <c r="B16" s="25" t="s">
        <v>399</v>
      </c>
      <c r="C16" s="3"/>
      <c r="D16" s="90">
        <f>IFERROR(-D15/D6,0)</f>
        <v>5.5999999999999994E-2</v>
      </c>
      <c r="E16" s="3"/>
      <c r="F16" s="3"/>
      <c r="G16" s="3"/>
      <c r="H16" s="3"/>
      <c r="I16" s="3"/>
    </row>
    <row r="17" spans="2:9" ht="16.5" customHeight="1" x14ac:dyDescent="0.35">
      <c r="B17" s="62" t="s">
        <v>357</v>
      </c>
      <c r="C17" s="3"/>
      <c r="D17" s="106">
        <f>D8+D15</f>
        <v>43345.279999999999</v>
      </c>
      <c r="E17" s="3"/>
      <c r="F17" s="3"/>
      <c r="G17" s="3"/>
      <c r="H17" s="3"/>
      <c r="I17" s="3"/>
    </row>
    <row r="18" spans="2:9" ht="15" customHeight="1" x14ac:dyDescent="0.35">
      <c r="B18" s="25" t="s">
        <v>358</v>
      </c>
      <c r="C18" s="3"/>
      <c r="D18" s="90">
        <f>IFERROR(D17/D6,0)</f>
        <v>0.52400000000000002</v>
      </c>
      <c r="E18" s="21" t="s">
        <v>400</v>
      </c>
      <c r="F18" s="3"/>
      <c r="G18" s="3"/>
      <c r="H18" s="3"/>
      <c r="I18" s="3"/>
    </row>
    <row r="19" spans="2:9" ht="6" customHeight="1" x14ac:dyDescent="0.35">
      <c r="B19" s="3"/>
      <c r="C19" s="3"/>
      <c r="D19" s="3"/>
      <c r="E19" s="3"/>
      <c r="F19" s="3"/>
      <c r="G19" s="3"/>
      <c r="H19" s="3"/>
      <c r="I19" s="3"/>
    </row>
    <row r="20" spans="2:9" ht="18" customHeight="1" x14ac:dyDescent="0.35">
      <c r="B20" s="74" t="s">
        <v>401</v>
      </c>
      <c r="C20" s="74"/>
      <c r="D20" s="74"/>
      <c r="E20" s="74"/>
      <c r="F20" s="109"/>
      <c r="G20" s="109"/>
      <c r="H20" s="109"/>
      <c r="I20" s="109"/>
    </row>
    <row r="21" spans="2:9" ht="15" customHeight="1" x14ac:dyDescent="0.35">
      <c r="B21" s="25" t="s">
        <v>267</v>
      </c>
      <c r="C21" s="3"/>
      <c r="D21" s="83">
        <f>-Assumptions!$C$46</f>
        <v>-22000</v>
      </c>
      <c r="E21" s="3"/>
      <c r="F21" s="3"/>
      <c r="G21" s="3"/>
      <c r="H21" s="3"/>
      <c r="I21" s="3"/>
    </row>
    <row r="22" spans="2:9" ht="15" customHeight="1" x14ac:dyDescent="0.35">
      <c r="B22" s="25" t="s">
        <v>402</v>
      </c>
      <c r="C22" s="3"/>
      <c r="D22" s="83">
        <f>-Assumptions!$C$47</f>
        <v>-18500</v>
      </c>
      <c r="E22" s="3"/>
      <c r="F22" s="3"/>
      <c r="G22" s="3"/>
      <c r="H22" s="3"/>
      <c r="I22" s="3"/>
    </row>
    <row r="23" spans="2:9" ht="15" customHeight="1" x14ac:dyDescent="0.35">
      <c r="B23" s="25" t="s">
        <v>278</v>
      </c>
      <c r="C23" s="3"/>
      <c r="D23" s="83">
        <f>-Assumptions!$C$48</f>
        <v>-2600</v>
      </c>
      <c r="E23" s="3"/>
      <c r="F23" s="3"/>
      <c r="G23" s="3"/>
      <c r="H23" s="3"/>
      <c r="I23" s="3"/>
    </row>
    <row r="24" spans="2:9" ht="15" customHeight="1" x14ac:dyDescent="0.35">
      <c r="B24" s="25" t="s">
        <v>403</v>
      </c>
      <c r="C24" s="3"/>
      <c r="D24" s="83">
        <f>-Assumptions!$C$49</f>
        <v>-450</v>
      </c>
      <c r="E24" s="3"/>
      <c r="F24" s="3"/>
      <c r="G24" s="3"/>
      <c r="H24" s="3"/>
      <c r="I24" s="3"/>
    </row>
    <row r="25" spans="2:9" ht="15" customHeight="1" x14ac:dyDescent="0.35">
      <c r="B25" s="25" t="s">
        <v>404</v>
      </c>
      <c r="C25" s="3"/>
      <c r="D25" s="83">
        <f>-Assumptions!$C$50</f>
        <v>-900</v>
      </c>
      <c r="E25" s="3"/>
      <c r="F25" s="3"/>
      <c r="G25" s="3"/>
      <c r="H25" s="3"/>
      <c r="I25" s="3"/>
    </row>
    <row r="26" spans="2:9" ht="16.5" customHeight="1" x14ac:dyDescent="0.35">
      <c r="B26" s="62" t="s">
        <v>405</v>
      </c>
      <c r="C26" s="3"/>
      <c r="D26" s="106">
        <f>SUM(D21:D25)</f>
        <v>-44450</v>
      </c>
      <c r="E26" s="3"/>
      <c r="F26" s="3"/>
      <c r="G26" s="3"/>
      <c r="H26" s="3"/>
      <c r="I26" s="3"/>
    </row>
    <row r="27" spans="2:9" ht="6" customHeight="1" x14ac:dyDescent="0.35">
      <c r="B27" s="3"/>
      <c r="C27" s="3"/>
      <c r="D27" s="3"/>
      <c r="E27" s="3"/>
      <c r="F27" s="3"/>
      <c r="G27" s="3"/>
      <c r="H27" s="3"/>
      <c r="I27" s="3"/>
    </row>
    <row r="28" spans="2:9" ht="16.5" customHeight="1" x14ac:dyDescent="0.35">
      <c r="B28" s="62" t="s">
        <v>406</v>
      </c>
      <c r="C28" s="3"/>
      <c r="D28" s="110">
        <f>D17+D26</f>
        <v>-1104.7200000000012</v>
      </c>
      <c r="E28" s="3"/>
      <c r="F28" s="3"/>
      <c r="G28" s="3"/>
      <c r="H28" s="3"/>
      <c r="I28" s="3"/>
    </row>
    <row r="29" spans="2:9" ht="15" customHeight="1" x14ac:dyDescent="0.35">
      <c r="B29" s="25" t="s">
        <v>407</v>
      </c>
      <c r="C29" s="3"/>
      <c r="D29" s="33">
        <f>D28*12</f>
        <v>-13256.640000000014</v>
      </c>
      <c r="E29" s="3"/>
      <c r="F29" s="3"/>
      <c r="G29" s="3"/>
      <c r="H29" s="3"/>
      <c r="I29" s="3"/>
    </row>
    <row r="30" spans="2:9" ht="6" customHeight="1" x14ac:dyDescent="0.35">
      <c r="B30" s="3"/>
      <c r="C30" s="3"/>
      <c r="D30" s="3"/>
      <c r="E30" s="3"/>
      <c r="F30" s="3"/>
      <c r="G30" s="3"/>
      <c r="H30" s="3"/>
      <c r="I30" s="3"/>
    </row>
    <row r="31" spans="2:9" ht="18" customHeight="1" x14ac:dyDescent="0.35">
      <c r="B31" s="12" t="s">
        <v>408</v>
      </c>
      <c r="C31" s="12"/>
      <c r="D31" s="12"/>
      <c r="E31" s="12"/>
      <c r="F31" s="111"/>
      <c r="G31" s="111"/>
      <c r="H31" s="111"/>
      <c r="I31" s="111"/>
    </row>
    <row r="32" spans="2:9" ht="16.5" customHeight="1" x14ac:dyDescent="0.35">
      <c r="B32" s="62" t="s">
        <v>409</v>
      </c>
      <c r="C32" s="3"/>
      <c r="D32" s="112">
        <f>IFERROR(-D26/D18,0)</f>
        <v>84828.244274809156</v>
      </c>
      <c r="E32" s="3"/>
      <c r="F32" s="3"/>
      <c r="G32" s="3"/>
      <c r="H32" s="3"/>
      <c r="I32" s="3"/>
    </row>
    <row r="33" spans="2:9" ht="15" customHeight="1" x14ac:dyDescent="0.35">
      <c r="B33" s="25" t="s">
        <v>410</v>
      </c>
      <c r="C33" s="3"/>
      <c r="D33" s="33">
        <f>D32/Assumptions!$C$10</f>
        <v>19575.748678802127</v>
      </c>
      <c r="E33" s="3"/>
      <c r="F33" s="3"/>
      <c r="G33" s="3"/>
      <c r="H33" s="3"/>
      <c r="I33" s="3"/>
    </row>
    <row r="34" spans="2:9" ht="15" customHeight="1" x14ac:dyDescent="0.35">
      <c r="B34" s="25" t="s">
        <v>411</v>
      </c>
      <c r="C34" s="3"/>
      <c r="D34" s="33">
        <f>D6</f>
        <v>82720</v>
      </c>
      <c r="E34" s="3"/>
      <c r="F34" s="3"/>
      <c r="G34" s="3"/>
      <c r="H34" s="3"/>
      <c r="I34" s="3"/>
    </row>
    <row r="35" spans="2:9" ht="16.5" customHeight="1" x14ac:dyDescent="0.35">
      <c r="B35" s="62" t="s">
        <v>412</v>
      </c>
      <c r="C35" s="3"/>
      <c r="D35" s="113">
        <f>D34-D32</f>
        <v>-2108.2442748091562</v>
      </c>
      <c r="E35" s="3"/>
      <c r="F35" s="3"/>
      <c r="G35" s="3"/>
      <c r="H35" s="3"/>
      <c r="I35" s="3"/>
    </row>
    <row r="36" spans="2:9" ht="15" customHeight="1" x14ac:dyDescent="0.35">
      <c r="B36" s="25" t="s">
        <v>413</v>
      </c>
      <c r="C36" s="3"/>
      <c r="D36" s="90">
        <f>IFERROR(D35/D34,0)</f>
        <v>-2.5486512026222874E-2</v>
      </c>
      <c r="E36" s="21" t="s">
        <v>414</v>
      </c>
      <c r="F36" s="3"/>
      <c r="G36" s="3"/>
      <c r="H36" s="3"/>
      <c r="I36" s="3"/>
    </row>
    <row r="37" spans="2:9" ht="16.5" customHeight="1" x14ac:dyDescent="0.35">
      <c r="B37" s="62" t="s">
        <v>415</v>
      </c>
      <c r="C37" s="3"/>
      <c r="D37" s="114">
        <f>IFERROR(D32/D34-1,0)</f>
        <v>2.5486512026222874E-2</v>
      </c>
      <c r="E37" s="3"/>
      <c r="F37" s="3"/>
      <c r="G37" s="3"/>
      <c r="H37" s="3"/>
      <c r="I37" s="3"/>
    </row>
    <row r="38" spans="2:9" ht="15" customHeight="1" x14ac:dyDescent="0.35">
      <c r="B38" s="25" t="s">
        <v>416</v>
      </c>
      <c r="C38" s="3"/>
      <c r="D38" s="33">
        <f>D32-D34</f>
        <v>2108.2442748091562</v>
      </c>
      <c r="E38" s="3"/>
      <c r="F38" s="3"/>
      <c r="G38" s="3"/>
      <c r="H38" s="3"/>
      <c r="I38" s="3"/>
    </row>
    <row r="39" spans="2:9" ht="15" customHeight="1" x14ac:dyDescent="0.35">
      <c r="B39" s="25" t="s">
        <v>417</v>
      </c>
      <c r="C39" s="3"/>
      <c r="D39" s="90">
        <f>IFERROR(-D26/D6-D18,0)</f>
        <v>1.3354932301740785E-2</v>
      </c>
      <c r="E39" s="21" t="s">
        <v>418</v>
      </c>
      <c r="F39" s="3"/>
      <c r="G39" s="3"/>
      <c r="H39" s="3"/>
      <c r="I39" s="3"/>
    </row>
    <row r="40" spans="2:9" ht="15" customHeight="1" x14ac:dyDescent="0.35">
      <c r="B40" s="25" t="s">
        <v>419</v>
      </c>
      <c r="C40" s="3"/>
      <c r="D40" s="33">
        <f>IF(D28&lt;0,-D28,0)</f>
        <v>1104.7200000000012</v>
      </c>
      <c r="E40" s="21" t="s">
        <v>420</v>
      </c>
      <c r="F40" s="3"/>
      <c r="G40" s="3"/>
      <c r="H40" s="3"/>
      <c r="I40" s="3"/>
    </row>
    <row r="41" spans="2:9" ht="15" customHeight="1" x14ac:dyDescent="0.35">
      <c r="B41" s="25" t="s">
        <v>421</v>
      </c>
      <c r="C41" s="3"/>
      <c r="D41" s="90">
        <f>IFERROR(D40/-D21,0)</f>
        <v>5.0214545454545505E-2</v>
      </c>
      <c r="E41" s="3"/>
      <c r="F41" s="3"/>
      <c r="G41" s="3"/>
      <c r="H41" s="3"/>
      <c r="I41" s="3"/>
    </row>
    <row r="42" spans="2:9" ht="6" customHeight="1" x14ac:dyDescent="0.35">
      <c r="B42" s="3"/>
      <c r="C42" s="3"/>
      <c r="D42" s="3"/>
      <c r="E42" s="3"/>
      <c r="F42" s="3"/>
      <c r="G42" s="3"/>
      <c r="H42" s="3"/>
      <c r="I42" s="3"/>
    </row>
    <row r="43" spans="2:9" ht="18" customHeight="1" x14ac:dyDescent="0.35">
      <c r="B43" s="12" t="s">
        <v>422</v>
      </c>
      <c r="C43" s="12"/>
      <c r="D43" s="12"/>
      <c r="E43" s="12"/>
      <c r="F43" s="109"/>
      <c r="G43" s="109"/>
      <c r="H43" s="109"/>
      <c r="I43" s="109"/>
    </row>
    <row r="44" spans="2:9" ht="15" customHeight="1" x14ac:dyDescent="0.35">
      <c r="B44" s="25" t="s">
        <v>423</v>
      </c>
      <c r="C44" s="3"/>
      <c r="D44" s="83">
        <f>'13W Cash Flow'!$Q$73</f>
        <v>249592.56</v>
      </c>
      <c r="E44" s="3"/>
      <c r="F44" s="3"/>
      <c r="G44" s="3"/>
      <c r="H44" s="3"/>
      <c r="I44" s="3"/>
    </row>
    <row r="45" spans="2:9" ht="15" customHeight="1" x14ac:dyDescent="0.35">
      <c r="B45" s="25" t="s">
        <v>424</v>
      </c>
      <c r="C45" s="3"/>
      <c r="D45" s="33">
        <f>D44/13*Assumptions!$C$10</f>
        <v>83197.519999999931</v>
      </c>
      <c r="E45" s="3"/>
      <c r="F45" s="3"/>
      <c r="G45" s="3"/>
      <c r="H45" s="3"/>
      <c r="I45" s="3"/>
    </row>
    <row r="46" spans="2:9" ht="15" customHeight="1" x14ac:dyDescent="0.35">
      <c r="B46" s="25" t="s">
        <v>425</v>
      </c>
      <c r="C46" s="3"/>
      <c r="D46" s="90">
        <f>IFERROR(D45/D32-1,0)</f>
        <v>-1.9223836220473189E-2</v>
      </c>
      <c r="E46" s="21" t="s">
        <v>426</v>
      </c>
      <c r="F46" s="3"/>
      <c r="G46" s="3"/>
      <c r="H46" s="3"/>
      <c r="I46" s="3"/>
    </row>
    <row r="47" spans="2:9" ht="6" customHeight="1" x14ac:dyDescent="0.35">
      <c r="B47" s="3"/>
      <c r="C47" s="3"/>
      <c r="D47" s="3"/>
      <c r="E47" s="3"/>
      <c r="F47" s="3"/>
      <c r="G47" s="3"/>
      <c r="H47" s="3"/>
      <c r="I47" s="3"/>
    </row>
    <row r="48" spans="2:9" ht="18" customHeight="1" x14ac:dyDescent="0.35">
      <c r="B48" s="12" t="s">
        <v>427</v>
      </c>
      <c r="C48" s="12"/>
      <c r="D48" s="12"/>
      <c r="E48" s="12"/>
      <c r="F48" s="12"/>
      <c r="G48" s="12"/>
      <c r="H48" s="12"/>
      <c r="I48" s="12"/>
    </row>
    <row r="49" spans="2:9" ht="15" customHeight="1" x14ac:dyDescent="0.35">
      <c r="B49" s="1" t="s">
        <v>428</v>
      </c>
      <c r="C49" s="115">
        <v>0.03</v>
      </c>
      <c r="D49" s="3"/>
      <c r="E49" s="3"/>
      <c r="F49" s="3"/>
      <c r="G49" s="3"/>
      <c r="H49" s="3"/>
      <c r="I49" s="3"/>
    </row>
    <row r="50" spans="2:9" ht="25.5" customHeight="1" x14ac:dyDescent="0.35">
      <c r="B50" s="116" t="s">
        <v>429</v>
      </c>
      <c r="C50" s="117" t="s">
        <v>347</v>
      </c>
      <c r="D50" s="170">
        <v>-0.2</v>
      </c>
      <c r="E50" s="170">
        <v>-0.1</v>
      </c>
      <c r="F50" s="170">
        <v>0</v>
      </c>
      <c r="G50" s="170">
        <v>0.1</v>
      </c>
      <c r="H50" s="170">
        <v>0.2</v>
      </c>
      <c r="I50" s="117"/>
    </row>
    <row r="51" spans="2:9" ht="15.75" customHeight="1" x14ac:dyDescent="0.35">
      <c r="B51" s="25" t="s">
        <v>430</v>
      </c>
      <c r="C51" s="118">
        <f>$D$9-$C$49</f>
        <v>0.54999999999999993</v>
      </c>
      <c r="D51" s="94">
        <f t="shared" ref="D51:H53" si="0">$D$6*(1+D$50)*($C51-$D$16)+$D$26</f>
        <v>-11759.056000000004</v>
      </c>
      <c r="E51" s="94">
        <f t="shared" si="0"/>
        <v>-7672.6880000000019</v>
      </c>
      <c r="F51" s="94">
        <f t="shared" si="0"/>
        <v>-3586.320000000007</v>
      </c>
      <c r="G51" s="94">
        <f t="shared" si="0"/>
        <v>500.0480000000025</v>
      </c>
      <c r="H51" s="94">
        <f t="shared" si="0"/>
        <v>4586.4159999999974</v>
      </c>
      <c r="I51" s="3"/>
    </row>
    <row r="52" spans="2:9" ht="15.75" customHeight="1" x14ac:dyDescent="0.35">
      <c r="B52" s="13" t="s">
        <v>431</v>
      </c>
      <c r="C52" s="118">
        <f>$D$9</f>
        <v>0.57999999999999996</v>
      </c>
      <c r="D52" s="33">
        <f t="shared" si="0"/>
        <v>-9773.775999999998</v>
      </c>
      <c r="E52" s="33">
        <f t="shared" si="0"/>
        <v>-5439.2479999999996</v>
      </c>
      <c r="F52" s="33">
        <f t="shared" si="0"/>
        <v>-1104.7200000000012</v>
      </c>
      <c r="G52" s="33">
        <f t="shared" si="0"/>
        <v>3229.8080000000118</v>
      </c>
      <c r="H52" s="33">
        <f t="shared" si="0"/>
        <v>7564.336000000003</v>
      </c>
      <c r="I52" s="3"/>
    </row>
    <row r="53" spans="2:9" ht="15.75" customHeight="1" x14ac:dyDescent="0.35">
      <c r="B53" s="25" t="s">
        <v>432</v>
      </c>
      <c r="C53" s="118">
        <f>$D$9+$C$49</f>
        <v>0.61</v>
      </c>
      <c r="D53" s="33">
        <f t="shared" si="0"/>
        <v>-7788.4959999999992</v>
      </c>
      <c r="E53" s="33">
        <f t="shared" si="0"/>
        <v>-3205.8079999999973</v>
      </c>
      <c r="F53" s="33">
        <f t="shared" si="0"/>
        <v>1376.8800000000047</v>
      </c>
      <c r="G53" s="33">
        <f t="shared" si="0"/>
        <v>5959.5680000000139</v>
      </c>
      <c r="H53" s="33">
        <f t="shared" si="0"/>
        <v>10542.256000000001</v>
      </c>
      <c r="I53" s="3"/>
    </row>
    <row r="54" spans="2:9" ht="15" customHeight="1" x14ac:dyDescent="0.35">
      <c r="B54" s="1" t="s">
        <v>433</v>
      </c>
      <c r="C54" s="3"/>
      <c r="D54" s="3"/>
      <c r="E54" s="3"/>
      <c r="F54" s="3"/>
      <c r="G54" s="3"/>
      <c r="H54" s="3"/>
      <c r="I54" s="3"/>
    </row>
    <row r="55" spans="2:9" ht="6" customHeight="1" x14ac:dyDescent="0.35">
      <c r="B55" s="3"/>
      <c r="C55" s="3"/>
      <c r="D55" s="3"/>
      <c r="E55" s="3"/>
      <c r="F55" s="3"/>
      <c r="G55" s="3"/>
      <c r="H55" s="3"/>
      <c r="I55" s="3"/>
    </row>
    <row r="56" spans="2:9" ht="18" customHeight="1" x14ac:dyDescent="0.35">
      <c r="B56" s="12" t="s">
        <v>434</v>
      </c>
      <c r="C56" s="12"/>
      <c r="D56" s="12"/>
      <c r="E56" s="12"/>
      <c r="F56" s="12"/>
      <c r="G56" s="12"/>
      <c r="H56" s="12"/>
      <c r="I56" s="12"/>
    </row>
    <row r="57" spans="2:9" ht="25.5" customHeight="1" x14ac:dyDescent="0.35">
      <c r="B57" s="116" t="s">
        <v>429</v>
      </c>
      <c r="C57" s="117" t="s">
        <v>347</v>
      </c>
      <c r="D57" s="171">
        <v>-0.2</v>
      </c>
      <c r="E57" s="171">
        <v>-0.15</v>
      </c>
      <c r="F57" s="171">
        <v>-0.1</v>
      </c>
      <c r="G57" s="171">
        <v>-0.05</v>
      </c>
      <c r="H57" s="171">
        <v>0</v>
      </c>
      <c r="I57" s="117"/>
    </row>
    <row r="58" spans="2:9" ht="15.75" customHeight="1" x14ac:dyDescent="0.35">
      <c r="B58" s="25" t="s">
        <v>430</v>
      </c>
      <c r="C58" s="118">
        <f>$D$9-$C$49</f>
        <v>0.54999999999999993</v>
      </c>
      <c r="D58" s="94">
        <f t="shared" ref="D58:H60" si="1">IFERROR(-($D$26+$D$21*D$57)/($C58-$D$16),0)</f>
        <v>81072.874493927142</v>
      </c>
      <c r="E58" s="94">
        <f t="shared" si="1"/>
        <v>83299.595141700411</v>
      </c>
      <c r="F58" s="94">
        <f t="shared" si="1"/>
        <v>85526.315789473694</v>
      </c>
      <c r="G58" s="94">
        <f t="shared" si="1"/>
        <v>87753.036437246978</v>
      </c>
      <c r="H58" s="94">
        <f t="shared" si="1"/>
        <v>89979.757085020261</v>
      </c>
      <c r="I58" s="3"/>
    </row>
    <row r="59" spans="2:9" ht="15.75" customHeight="1" x14ac:dyDescent="0.35">
      <c r="B59" s="13" t="s">
        <v>431</v>
      </c>
      <c r="C59" s="118">
        <f>$D$9</f>
        <v>0.57999999999999996</v>
      </c>
      <c r="D59" s="33">
        <f t="shared" si="1"/>
        <v>76431.29770992366</v>
      </c>
      <c r="E59" s="33">
        <f t="shared" si="1"/>
        <v>78530.534351145034</v>
      </c>
      <c r="F59" s="33">
        <f t="shared" si="1"/>
        <v>80629.770992366408</v>
      </c>
      <c r="G59" s="33">
        <f t="shared" si="1"/>
        <v>82729.007633587782</v>
      </c>
      <c r="H59" s="33">
        <f t="shared" si="1"/>
        <v>84828.244274809156</v>
      </c>
      <c r="I59" s="3"/>
    </row>
    <row r="60" spans="2:9" ht="15.75" customHeight="1" x14ac:dyDescent="0.35">
      <c r="B60" s="25" t="s">
        <v>432</v>
      </c>
      <c r="C60" s="118">
        <f>$D$9+$C$49</f>
        <v>0.61</v>
      </c>
      <c r="D60" s="33">
        <f t="shared" si="1"/>
        <v>72292.418772563164</v>
      </c>
      <c r="E60" s="33">
        <f t="shared" si="1"/>
        <v>74277.978339350171</v>
      </c>
      <c r="F60" s="33">
        <f t="shared" si="1"/>
        <v>76263.537906137179</v>
      </c>
      <c r="G60" s="33">
        <f t="shared" si="1"/>
        <v>78249.097472924186</v>
      </c>
      <c r="H60" s="33">
        <f t="shared" si="1"/>
        <v>80234.657039711179</v>
      </c>
      <c r="I60" s="3"/>
    </row>
    <row r="61" spans="2:9" ht="15" customHeight="1" x14ac:dyDescent="0.35">
      <c r="B61" s="1" t="s">
        <v>435</v>
      </c>
      <c r="C61" s="3"/>
      <c r="D61" s="3"/>
      <c r="E61" s="3"/>
      <c r="F61" s="3"/>
      <c r="G61" s="3"/>
      <c r="H61" s="3"/>
      <c r="I61" s="3"/>
    </row>
    <row r="62" spans="2:9" ht="6" customHeight="1" x14ac:dyDescent="0.35">
      <c r="B62" s="3"/>
      <c r="C62" s="3"/>
      <c r="D62" s="3"/>
      <c r="E62" s="3"/>
      <c r="F62" s="3"/>
      <c r="G62" s="3"/>
      <c r="H62" s="3"/>
      <c r="I62" s="3"/>
    </row>
    <row r="63" spans="2:9" ht="18" customHeight="1" x14ac:dyDescent="0.35">
      <c r="B63" s="12" t="s">
        <v>436</v>
      </c>
      <c r="C63" s="12"/>
      <c r="D63" s="12"/>
      <c r="E63" s="12"/>
      <c r="F63" s="12"/>
      <c r="G63" s="12"/>
      <c r="H63" s="12"/>
      <c r="I63" s="12"/>
    </row>
    <row r="64" spans="2:9" ht="15" customHeight="1" x14ac:dyDescent="0.35">
      <c r="B64" s="1" t="s">
        <v>437</v>
      </c>
      <c r="C64" s="115">
        <v>0.1</v>
      </c>
      <c r="D64" s="3"/>
      <c r="E64" s="3"/>
      <c r="F64" s="3"/>
      <c r="G64" s="3"/>
      <c r="H64" s="3"/>
      <c r="I64" s="3"/>
    </row>
    <row r="65" spans="2:9" ht="25.5" customHeight="1" x14ac:dyDescent="0.35">
      <c r="B65" s="116" t="s">
        <v>194</v>
      </c>
      <c r="C65" s="116"/>
      <c r="D65" s="117" t="s">
        <v>438</v>
      </c>
      <c r="E65" s="117" t="s">
        <v>431</v>
      </c>
      <c r="F65" s="117" t="s">
        <v>439</v>
      </c>
      <c r="G65" s="117" t="s">
        <v>440</v>
      </c>
      <c r="H65" s="117"/>
      <c r="I65" s="117"/>
    </row>
    <row r="66" spans="2:9" ht="15.75" customHeight="1" x14ac:dyDescent="0.35">
      <c r="B66" s="25" t="s">
        <v>386</v>
      </c>
      <c r="C66" s="3"/>
      <c r="D66" s="33">
        <f>$D$6*(1-$C$64)*($D$9-$D$16)+$D$26</f>
        <v>-5439.2479999999996</v>
      </c>
      <c r="E66" s="60">
        <f>$D$28</f>
        <v>-1104.7200000000012</v>
      </c>
      <c r="F66" s="33">
        <f>$D$6*(1+$C$64)*($D$9-$D$16)+$D$26</f>
        <v>3229.8080000000118</v>
      </c>
      <c r="G66" s="63">
        <f>F66-D66</f>
        <v>8669.0560000000114</v>
      </c>
      <c r="H66" s="3"/>
      <c r="I66" s="3"/>
    </row>
    <row r="67" spans="2:9" ht="15.75" customHeight="1" x14ac:dyDescent="0.35">
      <c r="B67" s="25" t="s">
        <v>347</v>
      </c>
      <c r="C67" s="3"/>
      <c r="D67" s="33">
        <f>$D$6*($D$9*(1-$C$64)-$D$16)+$D$26</f>
        <v>-5902.4799999999959</v>
      </c>
      <c r="E67" s="60">
        <f>$D$28</f>
        <v>-1104.7200000000012</v>
      </c>
      <c r="F67" s="33">
        <f>$D$6*($D$9*(1+$C$64)-$D$16)+$D$26</f>
        <v>3693.0400000000081</v>
      </c>
      <c r="G67" s="63">
        <f>F67-D67</f>
        <v>9595.5200000000041</v>
      </c>
      <c r="H67" s="3"/>
      <c r="I67" s="3"/>
    </row>
    <row r="68" spans="2:9" ht="15.75" customHeight="1" x14ac:dyDescent="0.35">
      <c r="B68" s="25" t="s">
        <v>267</v>
      </c>
      <c r="C68" s="3"/>
      <c r="D68" s="33">
        <f>$D$28+$D$21*$C$64</f>
        <v>-3304.7200000000012</v>
      </c>
      <c r="E68" s="60">
        <f>$D$28</f>
        <v>-1104.7200000000012</v>
      </c>
      <c r="F68" s="33">
        <f>$D$28-$D$21*$C$64</f>
        <v>1095.2799999999988</v>
      </c>
      <c r="G68" s="63">
        <f>F68-D68</f>
        <v>4400</v>
      </c>
      <c r="H68" s="3"/>
      <c r="I68" s="3"/>
    </row>
    <row r="69" spans="2:9" ht="15.75" customHeight="1" x14ac:dyDescent="0.35">
      <c r="B69" s="25" t="s">
        <v>402</v>
      </c>
      <c r="C69" s="3"/>
      <c r="D69" s="33">
        <f>$D$28+$D$22*$C$64</f>
        <v>-2954.7200000000012</v>
      </c>
      <c r="E69" s="60">
        <f>$D$28</f>
        <v>-1104.7200000000012</v>
      </c>
      <c r="F69" s="33">
        <f>$D$28-$D$22*$C$64</f>
        <v>745.27999999999884</v>
      </c>
      <c r="G69" s="63">
        <f>F69-D69</f>
        <v>3700</v>
      </c>
      <c r="H69" s="3"/>
      <c r="I69" s="3"/>
    </row>
    <row r="70" spans="2:9" ht="15.75" customHeight="1" x14ac:dyDescent="0.35">
      <c r="B70" s="25" t="s">
        <v>441</v>
      </c>
      <c r="C70" s="3"/>
      <c r="D70" s="33">
        <f>$D$6*($D$9-$D$16*(1+$C$64))+$D$26</f>
        <v>-1567.9520000000048</v>
      </c>
      <c r="E70" s="60">
        <f>$D$28</f>
        <v>-1104.7200000000012</v>
      </c>
      <c r="F70" s="33">
        <f>$D$6*($D$9-$D$16*(1-$C$64))+$D$26</f>
        <v>-641.48800000000483</v>
      </c>
      <c r="G70" s="63">
        <f>F70-D70</f>
        <v>926.46399999999994</v>
      </c>
      <c r="H70" s="3"/>
      <c r="I70" s="3"/>
    </row>
    <row r="71" spans="2:9" ht="6" customHeight="1" x14ac:dyDescent="0.35">
      <c r="B71" s="3"/>
      <c r="C71" s="3"/>
      <c r="D71" s="3"/>
      <c r="E71" s="3"/>
      <c r="F71" s="3"/>
      <c r="G71" s="3"/>
      <c r="H71" s="3"/>
      <c r="I71" s="3"/>
    </row>
    <row r="72" spans="2:9" ht="30" customHeight="1" x14ac:dyDescent="0.35">
      <c r="B72" s="195" t="s">
        <v>442</v>
      </c>
      <c r="C72" s="195"/>
      <c r="D72" s="195"/>
      <c r="E72" s="195"/>
      <c r="F72" s="195"/>
      <c r="G72" s="195"/>
      <c r="H72" s="195"/>
      <c r="I72" s="195"/>
    </row>
  </sheetData>
  <mergeCells count="7">
    <mergeCell ref="B72:I72"/>
    <mergeCell ref="F6:G6"/>
    <mergeCell ref="H6:I6"/>
    <mergeCell ref="F10:G10"/>
    <mergeCell ref="H10:I10"/>
    <mergeCell ref="F14:G14"/>
    <mergeCell ref="H14:I14"/>
  </mergeCells>
  <conditionalFormatting sqref="D51:H53">
    <cfRule type="cellIs" dxfId="9" priority="2" operator="lessThan">
      <formula>0</formula>
    </cfRule>
    <cfRule type="cellIs" dxfId="8" priority="3" operator="lessThan">
      <formula>3000</formula>
    </cfRule>
    <cfRule type="cellIs" dxfId="7" priority="4" operator="greaterThanOrEqual">
      <formula>3000</formula>
    </cfRule>
  </conditionalFormatting>
  <conditionalFormatting sqref="D58:H60">
    <cfRule type="expression" dxfId="6" priority="5">
      <formula>D58&gt;$D$34*1.05</formula>
    </cfRule>
    <cfRule type="expression" dxfId="5" priority="6">
      <formula>D58&gt;$D$34</formula>
    </cfRule>
    <cfRule type="expression" dxfId="4" priority="7">
      <formula>D58&lt;=$D$34</formula>
    </cfRule>
  </conditionalFormatting>
  <hyperlinks>
    <hyperlink ref="I3" location="'Dashboard'!A1" display="Back to Dashboard" xr:uid="{00000000-0004-0000-0400-000000000000}"/>
  </hyperlinks>
  <pageMargins left="0.35" right="0.35" top="0.45" bottom="0.45" header="0.511811023622047" footer="0.25"/>
  <pageSetup paperSize="9" fitToHeight="0" orientation="landscape" horizontalDpi="300" verticalDpi="300"/>
  <headerFooter>
    <oddFooter>&amp;L&amp;8 &amp;K808080Atelier North Pte. Ltd.  ·  synthetic FP&amp;&amp;A portfolio model&amp;R&amp;8 &amp;K808080&amp;A  ·  &amp;P / &amp;N</oddFooter>
  </headerFooter>
  <rowBreaks count="1" manualBreakCount="1">
    <brk id="4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9A3E"/>
    <pageSetUpPr fitToPage="1"/>
  </sheetPr>
  <dimension ref="B1:P125"/>
  <sheetViews>
    <sheetView showGridLines="0" zoomScale="90" zoomScaleNormal="90" workbookViewId="0">
      <pane xSplit="1" ySplit="5" topLeftCell="B6" activePane="bottomRight" state="frozen"/>
      <selection pane="topRight" activeCell="B1" sqref="B1"/>
      <selection pane="bottomLeft" activeCell="A6" sqref="A6"/>
      <selection pane="bottomRight" activeCell="B2" sqref="B2"/>
    </sheetView>
  </sheetViews>
  <sheetFormatPr defaultColWidth="8.54296875" defaultRowHeight="14.5" x14ac:dyDescent="0.35"/>
  <cols>
    <col min="1" max="1" width="1.6328125" customWidth="1"/>
    <col min="2" max="2" width="52" customWidth="1"/>
    <col min="3" max="3" width="15" customWidth="1"/>
    <col min="4" max="4" width="12" customWidth="1"/>
    <col min="5" max="16" width="10.6328125" customWidth="1"/>
    <col min="17" max="18" width="13" customWidth="1"/>
  </cols>
  <sheetData>
    <row r="1" spans="2:16" ht="9" customHeight="1" x14ac:dyDescent="0.35"/>
    <row r="2" spans="2:16" ht="26" customHeight="1" x14ac:dyDescent="0.35">
      <c r="B2" s="173" t="s">
        <v>0</v>
      </c>
      <c r="C2" s="175"/>
      <c r="D2" s="175"/>
      <c r="E2" s="175"/>
      <c r="F2" s="175"/>
      <c r="G2" s="175"/>
      <c r="H2" s="175"/>
      <c r="I2" s="175"/>
      <c r="J2" s="175"/>
      <c r="K2" s="175"/>
      <c r="L2" s="175"/>
      <c r="M2" s="175"/>
      <c r="N2" s="175"/>
      <c r="O2" s="175"/>
      <c r="P2" s="174" t="s">
        <v>1</v>
      </c>
    </row>
    <row r="3" spans="2:16" ht="20" customHeight="1" x14ac:dyDescent="0.35">
      <c r="B3" s="176" t="s">
        <v>59</v>
      </c>
      <c r="C3" s="177"/>
      <c r="D3" s="177"/>
      <c r="E3" s="177"/>
      <c r="F3" s="177"/>
      <c r="G3" s="177"/>
      <c r="H3" s="177"/>
      <c r="I3" s="177"/>
      <c r="J3" s="177"/>
      <c r="K3" s="177"/>
      <c r="L3" s="177"/>
      <c r="M3" s="177"/>
      <c r="N3" s="177"/>
      <c r="O3" s="177"/>
      <c r="P3" s="178" t="s">
        <v>60</v>
      </c>
    </row>
    <row r="4" spans="2:16" ht="15" customHeight="1" x14ac:dyDescent="0.35">
      <c r="B4" s="3"/>
      <c r="C4" s="3"/>
      <c r="D4" s="3"/>
      <c r="E4" s="3"/>
      <c r="F4" s="3"/>
      <c r="G4" s="3"/>
      <c r="H4" s="3"/>
      <c r="I4" s="3"/>
      <c r="J4" s="3"/>
      <c r="K4" s="3"/>
      <c r="L4" s="3"/>
      <c r="M4" s="3"/>
      <c r="N4" s="3"/>
      <c r="O4" s="3"/>
      <c r="P4" s="3"/>
    </row>
    <row r="5" spans="2:16" ht="15.75" customHeight="1" x14ac:dyDescent="0.35">
      <c r="B5" s="22" t="s">
        <v>61</v>
      </c>
      <c r="C5" s="23" t="s">
        <v>62</v>
      </c>
      <c r="D5" s="24" t="s">
        <v>63</v>
      </c>
      <c r="E5" s="24" t="s">
        <v>64</v>
      </c>
      <c r="F5" s="3"/>
      <c r="G5" s="3"/>
      <c r="H5" s="3"/>
      <c r="I5" s="3"/>
      <c r="J5" s="3"/>
      <c r="K5" s="3"/>
      <c r="L5" s="3"/>
      <c r="M5" s="3"/>
      <c r="N5" s="3"/>
      <c r="O5" s="3"/>
      <c r="P5" s="3"/>
    </row>
    <row r="6" spans="2:16" ht="6.75" customHeight="1" x14ac:dyDescent="0.35">
      <c r="B6" s="3"/>
      <c r="C6" s="3"/>
      <c r="D6" s="3"/>
      <c r="E6" s="3"/>
      <c r="F6" s="3"/>
      <c r="G6" s="3"/>
      <c r="H6" s="3"/>
      <c r="I6" s="3"/>
      <c r="J6" s="3"/>
      <c r="K6" s="3"/>
      <c r="L6" s="3"/>
      <c r="M6" s="3"/>
      <c r="N6" s="3"/>
      <c r="O6" s="3"/>
      <c r="P6" s="3"/>
    </row>
    <row r="7" spans="2:16" ht="19.5" customHeight="1" x14ac:dyDescent="0.35">
      <c r="B7" s="12" t="s">
        <v>65</v>
      </c>
      <c r="C7" s="172"/>
      <c r="D7" s="12"/>
      <c r="E7" s="12"/>
      <c r="F7" s="12"/>
      <c r="G7" s="12"/>
      <c r="H7" s="12"/>
      <c r="I7" s="12"/>
      <c r="J7" s="12"/>
      <c r="K7" s="12"/>
      <c r="L7" s="12"/>
      <c r="M7" s="12"/>
      <c r="N7" s="12"/>
      <c r="O7" s="12"/>
      <c r="P7" s="12"/>
    </row>
    <row r="8" spans="2:16" ht="15" customHeight="1" x14ac:dyDescent="0.35">
      <c r="B8" s="25" t="s">
        <v>66</v>
      </c>
      <c r="C8" s="26">
        <v>46237</v>
      </c>
      <c r="D8" s="24" t="s">
        <v>67</v>
      </c>
      <c r="E8" s="21" t="s">
        <v>68</v>
      </c>
      <c r="F8" s="3"/>
      <c r="G8" s="3"/>
      <c r="H8" s="3"/>
      <c r="I8" s="3"/>
      <c r="J8" s="3"/>
      <c r="K8" s="3"/>
      <c r="L8" s="3"/>
      <c r="M8" s="3"/>
      <c r="N8" s="3"/>
      <c r="O8" s="3"/>
      <c r="P8" s="3"/>
    </row>
    <row r="9" spans="2:16" ht="15" customHeight="1" x14ac:dyDescent="0.35">
      <c r="B9" s="25" t="s">
        <v>69</v>
      </c>
      <c r="C9" s="26">
        <v>46234</v>
      </c>
      <c r="D9" s="24" t="s">
        <v>67</v>
      </c>
      <c r="E9" s="21" t="s">
        <v>70</v>
      </c>
      <c r="F9" s="3"/>
      <c r="G9" s="3"/>
      <c r="H9" s="3"/>
      <c r="I9" s="3"/>
      <c r="J9" s="3"/>
      <c r="K9" s="3"/>
      <c r="L9" s="3"/>
      <c r="M9" s="3"/>
      <c r="N9" s="3"/>
      <c r="O9" s="3"/>
      <c r="P9" s="3"/>
    </row>
    <row r="10" spans="2:16" ht="15" customHeight="1" x14ac:dyDescent="0.35">
      <c r="B10" s="25" t="s">
        <v>71</v>
      </c>
      <c r="C10" s="27">
        <v>4.3333333333333304</v>
      </c>
      <c r="D10" s="24" t="s">
        <v>72</v>
      </c>
      <c r="E10" s="21" t="s">
        <v>73</v>
      </c>
      <c r="F10" s="3"/>
      <c r="G10" s="3"/>
      <c r="H10" s="3"/>
      <c r="I10" s="3"/>
      <c r="J10" s="3"/>
      <c r="K10" s="3"/>
      <c r="L10" s="3"/>
      <c r="M10" s="3"/>
      <c r="N10" s="3"/>
      <c r="O10" s="3"/>
      <c r="P10" s="3"/>
    </row>
    <row r="11" spans="2:16" ht="6.75" customHeight="1" x14ac:dyDescent="0.35">
      <c r="B11" s="3"/>
      <c r="C11" s="3"/>
      <c r="D11" s="3"/>
      <c r="E11" s="3"/>
      <c r="F11" s="3"/>
      <c r="G11" s="3"/>
      <c r="H11" s="3"/>
      <c r="I11" s="3"/>
      <c r="J11" s="3"/>
      <c r="K11" s="3"/>
      <c r="L11" s="3"/>
      <c r="M11" s="3"/>
      <c r="N11" s="3"/>
      <c r="O11" s="3"/>
      <c r="P11" s="3"/>
    </row>
    <row r="12" spans="2:16" ht="19.5" customHeight="1" x14ac:dyDescent="0.35">
      <c r="B12" s="12" t="s">
        <v>74</v>
      </c>
      <c r="C12" s="172"/>
      <c r="D12" s="12"/>
      <c r="E12" s="12"/>
      <c r="F12" s="12"/>
      <c r="G12" s="12"/>
      <c r="H12" s="12"/>
      <c r="I12" s="12"/>
      <c r="J12" s="12"/>
      <c r="K12" s="12"/>
      <c r="L12" s="12"/>
      <c r="M12" s="12"/>
      <c r="N12" s="12"/>
      <c r="O12" s="12"/>
      <c r="P12" s="12"/>
    </row>
    <row r="13" spans="2:16" ht="15" customHeight="1" x14ac:dyDescent="0.35">
      <c r="B13" s="25" t="s">
        <v>75</v>
      </c>
      <c r="C13" s="28">
        <v>205000</v>
      </c>
      <c r="D13" s="24" t="s">
        <v>76</v>
      </c>
      <c r="E13" s="21" t="s">
        <v>77</v>
      </c>
      <c r="F13" s="3"/>
      <c r="G13" s="3"/>
      <c r="H13" s="3"/>
      <c r="I13" s="3"/>
      <c r="J13" s="3"/>
      <c r="K13" s="3"/>
      <c r="L13" s="3"/>
      <c r="M13" s="3"/>
      <c r="N13" s="3"/>
      <c r="O13" s="3"/>
      <c r="P13" s="3"/>
    </row>
    <row r="14" spans="2:16" ht="15" customHeight="1" x14ac:dyDescent="0.35">
      <c r="B14" s="25" t="s">
        <v>78</v>
      </c>
      <c r="C14" s="28">
        <v>120000</v>
      </c>
      <c r="D14" s="24" t="s">
        <v>76</v>
      </c>
      <c r="E14" s="21" t="str">
        <f>"Board-set buffer: c."&amp;TEXT($C$14/$C$95,"0.0")&amp;" months of total fixed-cost cover."</f>
        <v>Board-set buffer: c.1.5 months of total fixed-cost cover.</v>
      </c>
      <c r="F14" s="3"/>
      <c r="G14" s="3"/>
      <c r="H14" s="3"/>
      <c r="I14" s="3"/>
      <c r="J14" s="3"/>
      <c r="K14" s="3"/>
      <c r="L14" s="3"/>
      <c r="M14" s="3"/>
      <c r="N14" s="3"/>
      <c r="O14" s="3"/>
      <c r="P14" s="3"/>
    </row>
    <row r="15" spans="2:16" ht="6.75" customHeight="1" x14ac:dyDescent="0.35">
      <c r="B15" s="3"/>
      <c r="C15" s="3"/>
      <c r="D15" s="3"/>
      <c r="E15" s="3"/>
      <c r="F15" s="3"/>
      <c r="G15" s="3"/>
      <c r="H15" s="3"/>
      <c r="I15" s="3"/>
      <c r="J15" s="3"/>
      <c r="K15" s="3"/>
      <c r="L15" s="3"/>
      <c r="M15" s="3"/>
      <c r="N15" s="3"/>
      <c r="O15" s="3"/>
      <c r="P15" s="3"/>
    </row>
    <row r="16" spans="2:16" ht="19.5" customHeight="1" x14ac:dyDescent="0.35">
      <c r="B16" s="12" t="s">
        <v>79</v>
      </c>
      <c r="C16" s="172"/>
      <c r="D16" s="12"/>
      <c r="E16" s="12"/>
      <c r="F16" s="12"/>
      <c r="G16" s="12"/>
      <c r="H16" s="12"/>
      <c r="I16" s="12"/>
      <c r="J16" s="12"/>
      <c r="K16" s="12"/>
      <c r="L16" s="12"/>
      <c r="M16" s="12"/>
      <c r="N16" s="12"/>
      <c r="O16" s="12"/>
      <c r="P16" s="12"/>
    </row>
    <row r="17" spans="2:16" ht="15" customHeight="1" x14ac:dyDescent="0.35">
      <c r="B17" s="25" t="s">
        <v>80</v>
      </c>
      <c r="C17" s="28">
        <v>20300</v>
      </c>
      <c r="D17" s="24" t="s">
        <v>81</v>
      </c>
      <c r="E17" s="3"/>
      <c r="F17" s="3"/>
      <c r="G17" s="3"/>
      <c r="H17" s="3"/>
      <c r="I17" s="3"/>
      <c r="J17" s="3"/>
      <c r="K17" s="3"/>
      <c r="L17" s="3"/>
      <c r="M17" s="3"/>
      <c r="N17" s="3"/>
      <c r="O17" s="3"/>
      <c r="P17" s="3"/>
    </row>
    <row r="18" spans="2:16" ht="15" customHeight="1" x14ac:dyDescent="0.35">
      <c r="B18" s="25" t="s">
        <v>82</v>
      </c>
      <c r="C18" s="28">
        <v>24500</v>
      </c>
      <c r="D18" s="24" t="s">
        <v>81</v>
      </c>
      <c r="E18" s="21" t="s">
        <v>83</v>
      </c>
      <c r="F18" s="3"/>
      <c r="G18" s="3"/>
      <c r="H18" s="3"/>
      <c r="I18" s="3"/>
      <c r="J18" s="3"/>
      <c r="K18" s="3"/>
      <c r="L18" s="3"/>
      <c r="M18" s="3"/>
      <c r="N18" s="3"/>
      <c r="O18" s="3"/>
      <c r="P18" s="3"/>
    </row>
    <row r="19" spans="2:16" ht="15" customHeight="1" x14ac:dyDescent="0.35">
      <c r="B19" s="25" t="s">
        <v>84</v>
      </c>
      <c r="C19" s="28">
        <v>24000</v>
      </c>
      <c r="D19" s="24" t="s">
        <v>81</v>
      </c>
      <c r="E19" s="21" t="s">
        <v>85</v>
      </c>
      <c r="F19" s="3"/>
      <c r="G19" s="3"/>
      <c r="H19" s="3"/>
      <c r="I19" s="3"/>
      <c r="J19" s="3"/>
      <c r="K19" s="3"/>
      <c r="L19" s="3"/>
      <c r="M19" s="3"/>
      <c r="N19" s="3"/>
      <c r="O19" s="3"/>
      <c r="P19" s="3"/>
    </row>
    <row r="20" spans="2:16" ht="15" customHeight="1" x14ac:dyDescent="0.35">
      <c r="B20" s="25" t="s">
        <v>86</v>
      </c>
      <c r="C20" s="28">
        <v>7850</v>
      </c>
      <c r="D20" s="24" t="s">
        <v>81</v>
      </c>
      <c r="E20" s="3"/>
      <c r="F20" s="3"/>
      <c r="G20" s="3"/>
      <c r="H20" s="3"/>
      <c r="I20" s="3"/>
      <c r="J20" s="3"/>
      <c r="K20" s="3"/>
      <c r="L20" s="3"/>
      <c r="M20" s="3"/>
      <c r="N20" s="3"/>
      <c r="O20" s="3"/>
      <c r="P20" s="3"/>
    </row>
    <row r="21" spans="2:16" ht="6.75" customHeight="1" x14ac:dyDescent="0.35">
      <c r="B21" s="3"/>
      <c r="C21" s="3"/>
      <c r="D21" s="3"/>
      <c r="E21" s="3"/>
      <c r="F21" s="3"/>
      <c r="G21" s="3"/>
      <c r="H21" s="3"/>
      <c r="I21" s="3"/>
      <c r="J21" s="3"/>
      <c r="K21" s="3"/>
      <c r="L21" s="3"/>
      <c r="M21" s="3"/>
      <c r="N21" s="3"/>
      <c r="O21" s="3"/>
      <c r="P21" s="3"/>
    </row>
    <row r="22" spans="2:16" ht="19.5" customHeight="1" x14ac:dyDescent="0.35">
      <c r="B22" s="12" t="s">
        <v>87</v>
      </c>
      <c r="C22" s="172"/>
      <c r="D22" s="12"/>
      <c r="E22" s="12"/>
      <c r="F22" s="12"/>
      <c r="G22" s="12"/>
      <c r="H22" s="12"/>
      <c r="I22" s="12"/>
      <c r="J22" s="12"/>
      <c r="K22" s="12"/>
      <c r="L22" s="12"/>
      <c r="M22" s="12"/>
      <c r="N22" s="12"/>
      <c r="O22" s="12"/>
      <c r="P22" s="12"/>
    </row>
    <row r="23" spans="2:16" ht="15" customHeight="1" x14ac:dyDescent="0.35">
      <c r="B23" s="25" t="s">
        <v>88</v>
      </c>
      <c r="C23" s="29">
        <v>0.06</v>
      </c>
      <c r="D23" s="24" t="s">
        <v>89</v>
      </c>
      <c r="E23" s="3"/>
      <c r="F23" s="3"/>
      <c r="G23" s="3"/>
      <c r="H23" s="3"/>
      <c r="I23" s="3"/>
      <c r="J23" s="3"/>
      <c r="K23" s="3"/>
      <c r="L23" s="3"/>
      <c r="M23" s="3"/>
      <c r="N23" s="3"/>
      <c r="O23" s="3"/>
      <c r="P23" s="3"/>
    </row>
    <row r="24" spans="2:16" ht="15" customHeight="1" x14ac:dyDescent="0.35">
      <c r="B24" s="25" t="s">
        <v>90</v>
      </c>
      <c r="C24" s="29">
        <v>0.12</v>
      </c>
      <c r="D24" s="24" t="s">
        <v>89</v>
      </c>
      <c r="E24" s="21" t="s">
        <v>91</v>
      </c>
      <c r="F24" s="3"/>
      <c r="G24" s="3"/>
      <c r="H24" s="3"/>
      <c r="I24" s="3"/>
      <c r="J24" s="3"/>
      <c r="K24" s="3"/>
      <c r="L24" s="3"/>
      <c r="M24" s="3"/>
      <c r="N24" s="3"/>
      <c r="O24" s="3"/>
      <c r="P24" s="3"/>
    </row>
    <row r="25" spans="2:16" ht="15" customHeight="1" x14ac:dyDescent="0.35">
      <c r="B25" s="25" t="s">
        <v>92</v>
      </c>
      <c r="C25" s="29">
        <v>0.03</v>
      </c>
      <c r="D25" s="24" t="s">
        <v>89</v>
      </c>
      <c r="E25" s="3"/>
      <c r="F25" s="3"/>
      <c r="G25" s="3"/>
      <c r="H25" s="3"/>
      <c r="I25" s="3"/>
      <c r="J25" s="3"/>
      <c r="K25" s="3"/>
      <c r="L25" s="3"/>
      <c r="M25" s="3"/>
      <c r="N25" s="3"/>
      <c r="O25" s="3"/>
      <c r="P25" s="3"/>
    </row>
    <row r="26" spans="2:16" ht="15" customHeight="1" x14ac:dyDescent="0.35">
      <c r="B26" s="25" t="s">
        <v>93</v>
      </c>
      <c r="C26" s="29">
        <v>0</v>
      </c>
      <c r="D26" s="24" t="s">
        <v>89</v>
      </c>
      <c r="E26" s="21" t="s">
        <v>94</v>
      </c>
      <c r="F26" s="3"/>
      <c r="G26" s="3"/>
      <c r="H26" s="3"/>
      <c r="I26" s="3"/>
      <c r="J26" s="3"/>
      <c r="K26" s="3"/>
      <c r="L26" s="3"/>
      <c r="M26" s="3"/>
      <c r="N26" s="3"/>
      <c r="O26" s="3"/>
      <c r="P26" s="3"/>
    </row>
    <row r="27" spans="2:16" ht="6.75" customHeight="1" x14ac:dyDescent="0.35">
      <c r="B27" s="3"/>
      <c r="C27" s="3"/>
      <c r="D27" s="3"/>
      <c r="E27" s="3"/>
      <c r="F27" s="3"/>
      <c r="G27" s="3"/>
      <c r="H27" s="3"/>
      <c r="I27" s="3"/>
      <c r="J27" s="3"/>
      <c r="K27" s="3"/>
      <c r="L27" s="3"/>
      <c r="M27" s="3"/>
      <c r="N27" s="3"/>
      <c r="O27" s="3"/>
      <c r="P27" s="3"/>
    </row>
    <row r="28" spans="2:16" ht="15" customHeight="1" x14ac:dyDescent="0.35">
      <c r="B28" s="25" t="s">
        <v>95</v>
      </c>
      <c r="C28" s="29">
        <v>0.57999999999999996</v>
      </c>
      <c r="D28" s="24" t="s">
        <v>96</v>
      </c>
      <c r="E28" s="3"/>
      <c r="F28" s="3"/>
      <c r="G28" s="3"/>
      <c r="H28" s="3"/>
      <c r="I28" s="3"/>
      <c r="J28" s="3"/>
      <c r="K28" s="3"/>
      <c r="L28" s="3"/>
      <c r="M28" s="3"/>
      <c r="N28" s="3"/>
      <c r="O28" s="3"/>
      <c r="P28" s="3"/>
    </row>
    <row r="29" spans="2:16" ht="15" customHeight="1" x14ac:dyDescent="0.35">
      <c r="B29" s="25" t="s">
        <v>97</v>
      </c>
      <c r="C29" s="29">
        <v>0.6</v>
      </c>
      <c r="D29" s="24" t="s">
        <v>96</v>
      </c>
      <c r="E29" s="3"/>
      <c r="F29" s="3"/>
      <c r="G29" s="3"/>
      <c r="H29" s="3"/>
      <c r="I29" s="3"/>
      <c r="J29" s="3"/>
      <c r="K29" s="3"/>
      <c r="L29" s="3"/>
      <c r="M29" s="3"/>
      <c r="N29" s="3"/>
      <c r="O29" s="3"/>
      <c r="P29" s="3"/>
    </row>
    <row r="30" spans="2:16" ht="15" customHeight="1" x14ac:dyDescent="0.35">
      <c r="B30" s="25" t="s">
        <v>98</v>
      </c>
      <c r="C30" s="29">
        <v>0.64</v>
      </c>
      <c r="D30" s="24" t="s">
        <v>96</v>
      </c>
      <c r="E30" s="21" t="s">
        <v>99</v>
      </c>
      <c r="F30" s="3"/>
      <c r="G30" s="3"/>
      <c r="H30" s="3"/>
      <c r="I30" s="3"/>
      <c r="J30" s="3"/>
      <c r="K30" s="3"/>
      <c r="L30" s="3"/>
      <c r="M30" s="3"/>
      <c r="N30" s="3"/>
      <c r="O30" s="3"/>
      <c r="P30" s="3"/>
    </row>
    <row r="31" spans="2:16" ht="15" customHeight="1" x14ac:dyDescent="0.35">
      <c r="B31" s="25" t="s">
        <v>100</v>
      </c>
      <c r="C31" s="29">
        <v>0.6</v>
      </c>
      <c r="D31" s="24" t="s">
        <v>96</v>
      </c>
      <c r="E31" s="3"/>
      <c r="F31" s="3"/>
      <c r="G31" s="3"/>
      <c r="H31" s="3"/>
      <c r="I31" s="3"/>
      <c r="J31" s="3"/>
      <c r="K31" s="3"/>
      <c r="L31" s="3"/>
      <c r="M31" s="3"/>
      <c r="N31" s="3"/>
      <c r="O31" s="3"/>
      <c r="P31" s="3"/>
    </row>
    <row r="32" spans="2:16" ht="6.75" customHeight="1" x14ac:dyDescent="0.35">
      <c r="B32" s="3"/>
      <c r="C32" s="3"/>
      <c r="D32" s="3"/>
      <c r="E32" s="3"/>
      <c r="F32" s="3"/>
      <c r="G32" s="3"/>
      <c r="H32" s="3"/>
      <c r="I32" s="3"/>
      <c r="J32" s="3"/>
      <c r="K32" s="3"/>
      <c r="L32" s="3"/>
      <c r="M32" s="3"/>
      <c r="N32" s="3"/>
      <c r="O32" s="3"/>
      <c r="P32" s="3"/>
    </row>
    <row r="33" spans="2:16" ht="19.5" customHeight="1" x14ac:dyDescent="0.35">
      <c r="B33" s="12" t="s">
        <v>101</v>
      </c>
      <c r="C33" s="172"/>
      <c r="D33" s="12"/>
      <c r="E33" s="12"/>
      <c r="F33" s="12"/>
      <c r="G33" s="12"/>
      <c r="H33" s="12"/>
      <c r="I33" s="12"/>
      <c r="J33" s="12"/>
      <c r="K33" s="12"/>
      <c r="L33" s="12"/>
      <c r="M33" s="12"/>
      <c r="N33" s="12"/>
      <c r="O33" s="12"/>
      <c r="P33" s="12"/>
    </row>
    <row r="34" spans="2:16" ht="15" customHeight="1" x14ac:dyDescent="0.35">
      <c r="B34" s="25" t="s">
        <v>102</v>
      </c>
      <c r="C34" s="29">
        <v>1.7999999999999999E-2</v>
      </c>
      <c r="D34" s="24" t="s">
        <v>96</v>
      </c>
      <c r="E34" s="3"/>
      <c r="F34" s="3"/>
      <c r="G34" s="3"/>
      <c r="H34" s="3"/>
      <c r="I34" s="3"/>
      <c r="J34" s="3"/>
      <c r="K34" s="3"/>
      <c r="L34" s="3"/>
      <c r="M34" s="3"/>
      <c r="N34" s="3"/>
      <c r="O34" s="3"/>
      <c r="P34" s="3"/>
    </row>
    <row r="35" spans="2:16" ht="15" customHeight="1" x14ac:dyDescent="0.35">
      <c r="B35" s="25" t="s">
        <v>103</v>
      </c>
      <c r="C35" s="29">
        <v>2.9000000000000001E-2</v>
      </c>
      <c r="D35" s="24" t="s">
        <v>96</v>
      </c>
      <c r="E35" s="3"/>
      <c r="F35" s="3"/>
      <c r="G35" s="3"/>
      <c r="H35" s="3"/>
      <c r="I35" s="3"/>
      <c r="J35" s="3"/>
      <c r="K35" s="3"/>
      <c r="L35" s="3"/>
      <c r="M35" s="3"/>
      <c r="N35" s="3"/>
      <c r="O35" s="3"/>
      <c r="P35" s="3"/>
    </row>
    <row r="36" spans="2:16" ht="15" customHeight="1" x14ac:dyDescent="0.35">
      <c r="B36" s="25" t="s">
        <v>104</v>
      </c>
      <c r="C36" s="29">
        <v>1.9E-2</v>
      </c>
      <c r="D36" s="24" t="s">
        <v>96</v>
      </c>
      <c r="E36" s="3"/>
      <c r="F36" s="3"/>
      <c r="G36" s="3"/>
      <c r="H36" s="3"/>
      <c r="I36" s="3"/>
      <c r="J36" s="3"/>
      <c r="K36" s="3"/>
      <c r="L36" s="3"/>
      <c r="M36" s="3"/>
      <c r="N36" s="3"/>
      <c r="O36" s="3"/>
      <c r="P36" s="3"/>
    </row>
    <row r="37" spans="2:16" ht="15" customHeight="1" x14ac:dyDescent="0.35">
      <c r="B37" s="25" t="s">
        <v>105</v>
      </c>
      <c r="C37" s="29">
        <v>0.03</v>
      </c>
      <c r="D37" s="24" t="s">
        <v>96</v>
      </c>
      <c r="E37" s="21" t="s">
        <v>106</v>
      </c>
      <c r="F37" s="3"/>
      <c r="G37" s="3"/>
      <c r="H37" s="3"/>
      <c r="I37" s="3"/>
      <c r="J37" s="3"/>
      <c r="K37" s="3"/>
      <c r="L37" s="3"/>
      <c r="M37" s="3"/>
      <c r="N37" s="3"/>
      <c r="O37" s="3"/>
      <c r="P37" s="3"/>
    </row>
    <row r="38" spans="2:16" ht="15" customHeight="1" x14ac:dyDescent="0.35">
      <c r="B38" s="25" t="s">
        <v>107</v>
      </c>
      <c r="C38" s="29">
        <v>8.0000000000000002E-3</v>
      </c>
      <c r="D38" s="24" t="s">
        <v>96</v>
      </c>
      <c r="E38" s="3"/>
      <c r="F38" s="3"/>
      <c r="G38" s="3"/>
      <c r="H38" s="3"/>
      <c r="I38" s="3"/>
      <c r="J38" s="3"/>
      <c r="K38" s="3"/>
      <c r="L38" s="3"/>
      <c r="M38" s="3"/>
      <c r="N38" s="3"/>
      <c r="O38" s="3"/>
      <c r="P38" s="3"/>
    </row>
    <row r="39" spans="2:16" ht="15" customHeight="1" x14ac:dyDescent="0.35">
      <c r="B39" s="25" t="s">
        <v>108</v>
      </c>
      <c r="C39" s="29">
        <v>6.5000000000000002E-2</v>
      </c>
      <c r="D39" s="24" t="s">
        <v>96</v>
      </c>
      <c r="E39" s="3"/>
      <c r="F39" s="3"/>
      <c r="G39" s="3"/>
      <c r="H39" s="3"/>
      <c r="I39" s="3"/>
      <c r="J39" s="3"/>
      <c r="K39" s="3"/>
      <c r="L39" s="3"/>
      <c r="M39" s="3"/>
      <c r="N39" s="3"/>
      <c r="O39" s="3"/>
      <c r="P39" s="3"/>
    </row>
    <row r="40" spans="2:16" ht="15" customHeight="1" x14ac:dyDescent="0.35">
      <c r="B40" s="25" t="s">
        <v>109</v>
      </c>
      <c r="C40" s="29">
        <v>0.09</v>
      </c>
      <c r="D40" s="24" t="s">
        <v>96</v>
      </c>
      <c r="E40" s="21" t="s">
        <v>110</v>
      </c>
      <c r="F40" s="3"/>
      <c r="G40" s="3"/>
      <c r="H40" s="3"/>
      <c r="I40" s="3"/>
      <c r="J40" s="3"/>
      <c r="K40" s="3"/>
      <c r="L40" s="3"/>
      <c r="M40" s="3"/>
      <c r="N40" s="3"/>
      <c r="O40" s="3"/>
      <c r="P40" s="3"/>
    </row>
    <row r="41" spans="2:16" ht="15" customHeight="1" x14ac:dyDescent="0.35">
      <c r="B41" s="25" t="s">
        <v>111</v>
      </c>
      <c r="C41" s="29">
        <v>0.18</v>
      </c>
      <c r="D41" s="24" t="s">
        <v>96</v>
      </c>
      <c r="E41" s="3"/>
      <c r="F41" s="3"/>
      <c r="G41" s="3"/>
      <c r="H41" s="3"/>
      <c r="I41" s="3"/>
      <c r="J41" s="3"/>
      <c r="K41" s="3"/>
      <c r="L41" s="3"/>
      <c r="M41" s="3"/>
      <c r="N41" s="3"/>
      <c r="O41" s="3"/>
      <c r="P41" s="3"/>
    </row>
    <row r="42" spans="2:16" ht="15" customHeight="1" x14ac:dyDescent="0.35">
      <c r="B42" s="25" t="s">
        <v>112</v>
      </c>
      <c r="C42" s="29">
        <v>0.3</v>
      </c>
      <c r="D42" s="24" t="s">
        <v>96</v>
      </c>
      <c r="E42" s="21" t="s">
        <v>113</v>
      </c>
      <c r="F42" s="3"/>
      <c r="G42" s="3"/>
      <c r="H42" s="3"/>
      <c r="I42" s="3"/>
      <c r="J42" s="3"/>
      <c r="K42" s="3"/>
      <c r="L42" s="3"/>
      <c r="M42" s="3"/>
      <c r="N42" s="3"/>
      <c r="O42" s="3"/>
      <c r="P42" s="3"/>
    </row>
    <row r="43" spans="2:16" ht="15" customHeight="1" x14ac:dyDescent="0.35">
      <c r="B43" s="25" t="s">
        <v>114</v>
      </c>
      <c r="C43" s="29">
        <v>1.4999999999999999E-2</v>
      </c>
      <c r="D43" s="24" t="s">
        <v>96</v>
      </c>
      <c r="E43" s="3"/>
      <c r="F43" s="3"/>
      <c r="G43" s="3"/>
      <c r="H43" s="3"/>
      <c r="I43" s="3"/>
      <c r="J43" s="3"/>
      <c r="K43" s="3"/>
      <c r="L43" s="3"/>
      <c r="M43" s="3"/>
      <c r="N43" s="3"/>
      <c r="O43" s="3"/>
      <c r="P43" s="3"/>
    </row>
    <row r="44" spans="2:16" ht="6.75" customHeight="1" x14ac:dyDescent="0.35">
      <c r="B44" s="3"/>
      <c r="C44" s="3"/>
      <c r="D44" s="3"/>
      <c r="E44" s="3"/>
      <c r="F44" s="3"/>
      <c r="G44" s="3"/>
      <c r="H44" s="3"/>
      <c r="I44" s="3"/>
      <c r="J44" s="3"/>
      <c r="K44" s="3"/>
      <c r="L44" s="3"/>
      <c r="M44" s="3"/>
      <c r="N44" s="3"/>
      <c r="O44" s="3"/>
      <c r="P44" s="3"/>
    </row>
    <row r="45" spans="2:16" ht="19.5" customHeight="1" x14ac:dyDescent="0.35">
      <c r="B45" s="12" t="s">
        <v>115</v>
      </c>
      <c r="C45" s="172"/>
      <c r="D45" s="12"/>
      <c r="E45" s="12"/>
      <c r="F45" s="12"/>
      <c r="G45" s="12"/>
      <c r="H45" s="12"/>
      <c r="I45" s="12"/>
      <c r="J45" s="12"/>
      <c r="K45" s="12"/>
      <c r="L45" s="12"/>
      <c r="M45" s="12"/>
      <c r="N45" s="12"/>
      <c r="O45" s="12"/>
      <c r="P45" s="12"/>
    </row>
    <row r="46" spans="2:16" ht="15" customHeight="1" x14ac:dyDescent="0.35">
      <c r="B46" s="25" t="s">
        <v>116</v>
      </c>
      <c r="C46" s="28">
        <v>22000</v>
      </c>
      <c r="D46" s="24" t="s">
        <v>117</v>
      </c>
      <c r="E46" s="21" t="s">
        <v>118</v>
      </c>
      <c r="F46" s="3"/>
      <c r="G46" s="3"/>
      <c r="H46" s="3"/>
      <c r="I46" s="3"/>
      <c r="J46" s="3"/>
      <c r="K46" s="3"/>
      <c r="L46" s="3"/>
      <c r="M46" s="3"/>
      <c r="N46" s="3"/>
      <c r="O46" s="3"/>
      <c r="P46" s="3"/>
    </row>
    <row r="47" spans="2:16" ht="15" customHeight="1" x14ac:dyDescent="0.35">
      <c r="B47" s="25" t="s">
        <v>119</v>
      </c>
      <c r="C47" s="28">
        <v>18500</v>
      </c>
      <c r="D47" s="24" t="s">
        <v>117</v>
      </c>
      <c r="E47" s="3"/>
      <c r="F47" s="3"/>
      <c r="G47" s="3"/>
      <c r="H47" s="3"/>
      <c r="I47" s="3"/>
      <c r="J47" s="3"/>
      <c r="K47" s="3"/>
      <c r="L47" s="3"/>
      <c r="M47" s="3"/>
      <c r="N47" s="3"/>
      <c r="O47" s="3"/>
      <c r="P47" s="3"/>
    </row>
    <row r="48" spans="2:16" ht="15" customHeight="1" x14ac:dyDescent="0.35">
      <c r="B48" s="25" t="s">
        <v>120</v>
      </c>
      <c r="C48" s="28">
        <v>2600</v>
      </c>
      <c r="D48" s="24" t="s">
        <v>117</v>
      </c>
      <c r="E48" s="3"/>
      <c r="F48" s="3"/>
      <c r="G48" s="3"/>
      <c r="H48" s="3"/>
      <c r="I48" s="3"/>
      <c r="J48" s="3"/>
      <c r="K48" s="3"/>
      <c r="L48" s="3"/>
      <c r="M48" s="3"/>
      <c r="N48" s="3"/>
      <c r="O48" s="3"/>
      <c r="P48" s="3"/>
    </row>
    <row r="49" spans="2:16" ht="15" customHeight="1" x14ac:dyDescent="0.35">
      <c r="B49" s="25" t="s">
        <v>121</v>
      </c>
      <c r="C49" s="28">
        <v>450</v>
      </c>
      <c r="D49" s="24" t="s">
        <v>117</v>
      </c>
      <c r="E49" s="3"/>
      <c r="F49" s="3"/>
      <c r="G49" s="3"/>
      <c r="H49" s="3"/>
      <c r="I49" s="3"/>
      <c r="J49" s="3"/>
      <c r="K49" s="3"/>
      <c r="L49" s="3"/>
      <c r="M49" s="3"/>
      <c r="N49" s="3"/>
      <c r="O49" s="3"/>
      <c r="P49" s="3"/>
    </row>
    <row r="50" spans="2:16" ht="15" customHeight="1" x14ac:dyDescent="0.35">
      <c r="B50" s="25" t="s">
        <v>122</v>
      </c>
      <c r="C50" s="28">
        <v>900</v>
      </c>
      <c r="D50" s="24" t="s">
        <v>117</v>
      </c>
      <c r="E50" s="3"/>
      <c r="F50" s="3"/>
      <c r="G50" s="3"/>
      <c r="H50" s="3"/>
      <c r="I50" s="3"/>
      <c r="J50" s="3"/>
      <c r="K50" s="3"/>
      <c r="L50" s="3"/>
      <c r="M50" s="3"/>
      <c r="N50" s="3"/>
      <c r="O50" s="3"/>
      <c r="P50" s="3"/>
    </row>
    <row r="51" spans="2:16" ht="15" customHeight="1" x14ac:dyDescent="0.35">
      <c r="B51" s="30" t="s">
        <v>123</v>
      </c>
      <c r="C51" s="31">
        <f>SUM(C46:C50)</f>
        <v>44450</v>
      </c>
      <c r="D51" s="3"/>
      <c r="E51" s="3"/>
      <c r="F51" s="3"/>
      <c r="G51" s="3"/>
      <c r="H51" s="3"/>
      <c r="I51" s="3"/>
      <c r="J51" s="3"/>
      <c r="K51" s="3"/>
      <c r="L51" s="3"/>
      <c r="M51" s="3"/>
      <c r="N51" s="3"/>
      <c r="O51" s="3"/>
      <c r="P51" s="3"/>
    </row>
    <row r="52" spans="2:16" ht="6.75" customHeight="1" x14ac:dyDescent="0.35">
      <c r="B52" s="3"/>
      <c r="C52" s="3"/>
      <c r="D52" s="3"/>
      <c r="E52" s="3"/>
      <c r="F52" s="3"/>
      <c r="G52" s="3"/>
      <c r="H52" s="3"/>
      <c r="I52" s="3"/>
      <c r="J52" s="3"/>
      <c r="K52" s="3"/>
      <c r="L52" s="3"/>
      <c r="M52" s="3"/>
      <c r="N52" s="3"/>
      <c r="O52" s="3"/>
      <c r="P52" s="3"/>
    </row>
    <row r="53" spans="2:16" ht="19.5" customHeight="1" x14ac:dyDescent="0.35">
      <c r="B53" s="12" t="s">
        <v>124</v>
      </c>
      <c r="C53" s="172"/>
      <c r="D53" s="12"/>
      <c r="E53" s="12"/>
      <c r="F53" s="12"/>
      <c r="G53" s="12"/>
      <c r="H53" s="12"/>
      <c r="I53" s="12"/>
      <c r="J53" s="12"/>
      <c r="K53" s="12"/>
      <c r="L53" s="12"/>
      <c r="M53" s="12"/>
      <c r="N53" s="12"/>
      <c r="O53" s="12"/>
      <c r="P53" s="12"/>
    </row>
    <row r="54" spans="2:16" ht="15" customHeight="1" x14ac:dyDescent="0.35">
      <c r="B54" s="25" t="s">
        <v>125</v>
      </c>
      <c r="C54" s="28">
        <v>1100</v>
      </c>
      <c r="D54" s="24" t="s">
        <v>117</v>
      </c>
      <c r="E54" s="3"/>
      <c r="F54" s="3"/>
      <c r="G54" s="3"/>
      <c r="H54" s="3"/>
      <c r="I54" s="3"/>
      <c r="J54" s="3"/>
      <c r="K54" s="3"/>
      <c r="L54" s="3"/>
      <c r="M54" s="3"/>
      <c r="N54" s="3"/>
      <c r="O54" s="3"/>
      <c r="P54" s="3"/>
    </row>
    <row r="55" spans="2:16" ht="15" customHeight="1" x14ac:dyDescent="0.35">
      <c r="B55" s="25" t="s">
        <v>126</v>
      </c>
      <c r="C55" s="28">
        <v>5200</v>
      </c>
      <c r="D55" s="24" t="s">
        <v>117</v>
      </c>
      <c r="E55" s="3"/>
      <c r="F55" s="3"/>
      <c r="G55" s="3"/>
      <c r="H55" s="3"/>
      <c r="I55" s="3"/>
      <c r="J55" s="3"/>
      <c r="K55" s="3"/>
      <c r="L55" s="3"/>
      <c r="M55" s="3"/>
      <c r="N55" s="3"/>
      <c r="O55" s="3"/>
      <c r="P55" s="3"/>
    </row>
    <row r="56" spans="2:16" ht="15" customHeight="1" x14ac:dyDescent="0.35">
      <c r="B56" s="30" t="s">
        <v>127</v>
      </c>
      <c r="C56" s="31">
        <f>SUM(C54:C55)</f>
        <v>6300</v>
      </c>
      <c r="D56" s="3"/>
      <c r="E56" s="3"/>
      <c r="F56" s="3"/>
      <c r="G56" s="3"/>
      <c r="H56" s="3"/>
      <c r="I56" s="3"/>
      <c r="J56" s="3"/>
      <c r="K56" s="3"/>
      <c r="L56" s="3"/>
      <c r="M56" s="3"/>
      <c r="N56" s="3"/>
      <c r="O56" s="3"/>
      <c r="P56" s="3"/>
    </row>
    <row r="57" spans="2:16" ht="6.75" customHeight="1" x14ac:dyDescent="0.35">
      <c r="B57" s="3"/>
      <c r="C57" s="3"/>
      <c r="D57" s="3"/>
      <c r="E57" s="3"/>
      <c r="F57" s="3"/>
      <c r="G57" s="3"/>
      <c r="H57" s="3"/>
      <c r="I57" s="3"/>
      <c r="J57" s="3"/>
      <c r="K57" s="3"/>
      <c r="L57" s="3"/>
      <c r="M57" s="3"/>
      <c r="N57" s="3"/>
      <c r="O57" s="3"/>
      <c r="P57" s="3"/>
    </row>
    <row r="58" spans="2:16" ht="19.5" customHeight="1" x14ac:dyDescent="0.35">
      <c r="B58" s="12" t="s">
        <v>128</v>
      </c>
      <c r="C58" s="172"/>
      <c r="D58" s="12"/>
      <c r="E58" s="12"/>
      <c r="F58" s="12"/>
      <c r="G58" s="12"/>
      <c r="H58" s="12"/>
      <c r="I58" s="12"/>
      <c r="J58" s="12"/>
      <c r="K58" s="12"/>
      <c r="L58" s="12"/>
      <c r="M58" s="12"/>
      <c r="N58" s="12"/>
      <c r="O58" s="12"/>
      <c r="P58" s="12"/>
    </row>
    <row r="59" spans="2:16" ht="15" customHeight="1" x14ac:dyDescent="0.35">
      <c r="B59" s="25" t="s">
        <v>129</v>
      </c>
      <c r="C59" s="28">
        <v>21000</v>
      </c>
      <c r="D59" s="24" t="s">
        <v>117</v>
      </c>
      <c r="E59" s="3"/>
      <c r="F59" s="3"/>
      <c r="G59" s="3"/>
      <c r="H59" s="3"/>
      <c r="I59" s="3"/>
      <c r="J59" s="3"/>
      <c r="K59" s="3"/>
      <c r="L59" s="3"/>
      <c r="M59" s="3"/>
      <c r="N59" s="3"/>
      <c r="O59" s="3"/>
      <c r="P59" s="3"/>
    </row>
    <row r="60" spans="2:16" ht="15" customHeight="1" x14ac:dyDescent="0.35">
      <c r="B60" s="25" t="s">
        <v>130</v>
      </c>
      <c r="C60" s="28">
        <v>1800</v>
      </c>
      <c r="D60" s="24" t="s">
        <v>117</v>
      </c>
      <c r="E60" s="3"/>
      <c r="F60" s="3"/>
      <c r="G60" s="3"/>
      <c r="H60" s="3"/>
      <c r="I60" s="3"/>
      <c r="J60" s="3"/>
      <c r="K60" s="3"/>
      <c r="L60" s="3"/>
      <c r="M60" s="3"/>
      <c r="N60" s="3"/>
      <c r="O60" s="3"/>
      <c r="P60" s="3"/>
    </row>
    <row r="61" spans="2:16" ht="15" customHeight="1" x14ac:dyDescent="0.35">
      <c r="B61" s="25" t="s">
        <v>131</v>
      </c>
      <c r="C61" s="28">
        <v>900</v>
      </c>
      <c r="D61" s="24" t="s">
        <v>117</v>
      </c>
      <c r="E61" s="3"/>
      <c r="F61" s="3"/>
      <c r="G61" s="3"/>
      <c r="H61" s="3"/>
      <c r="I61" s="3"/>
      <c r="J61" s="3"/>
      <c r="K61" s="3"/>
      <c r="L61" s="3"/>
      <c r="M61" s="3"/>
      <c r="N61" s="3"/>
      <c r="O61" s="3"/>
      <c r="P61" s="3"/>
    </row>
    <row r="62" spans="2:16" ht="15" customHeight="1" x14ac:dyDescent="0.35">
      <c r="B62" s="25" t="s">
        <v>132</v>
      </c>
      <c r="C62" s="28">
        <v>4500</v>
      </c>
      <c r="D62" s="24" t="s">
        <v>117</v>
      </c>
      <c r="E62" s="3"/>
      <c r="F62" s="3"/>
      <c r="G62" s="3"/>
      <c r="H62" s="3"/>
      <c r="I62" s="3"/>
      <c r="J62" s="3"/>
      <c r="K62" s="3"/>
      <c r="L62" s="3"/>
      <c r="M62" s="3"/>
      <c r="N62" s="3"/>
      <c r="O62" s="3"/>
      <c r="P62" s="3"/>
    </row>
    <row r="63" spans="2:16" ht="15" customHeight="1" x14ac:dyDescent="0.35">
      <c r="B63" s="25" t="s">
        <v>133</v>
      </c>
      <c r="C63" s="28">
        <v>1500</v>
      </c>
      <c r="D63" s="24" t="s">
        <v>117</v>
      </c>
      <c r="E63" s="3"/>
      <c r="F63" s="3"/>
      <c r="G63" s="3"/>
      <c r="H63" s="3"/>
      <c r="I63" s="3"/>
      <c r="J63" s="3"/>
      <c r="K63" s="3"/>
      <c r="L63" s="3"/>
      <c r="M63" s="3"/>
      <c r="N63" s="3"/>
      <c r="O63" s="3"/>
      <c r="P63" s="3"/>
    </row>
    <row r="64" spans="2:16" ht="15" customHeight="1" x14ac:dyDescent="0.35">
      <c r="B64" s="30" t="s">
        <v>134</v>
      </c>
      <c r="C64" s="31">
        <f>SUM(C59:C63)</f>
        <v>29700</v>
      </c>
      <c r="D64" s="3"/>
      <c r="E64" s="3"/>
      <c r="F64" s="3"/>
      <c r="G64" s="3"/>
      <c r="H64" s="3"/>
      <c r="I64" s="3"/>
      <c r="J64" s="3"/>
      <c r="K64" s="3"/>
      <c r="L64" s="3"/>
      <c r="M64" s="3"/>
      <c r="N64" s="3"/>
      <c r="O64" s="3"/>
      <c r="P64" s="3"/>
    </row>
    <row r="65" spans="2:16" ht="6.75" customHeight="1" x14ac:dyDescent="0.35">
      <c r="B65" s="3"/>
      <c r="C65" s="3"/>
      <c r="D65" s="3"/>
      <c r="E65" s="3"/>
      <c r="F65" s="3"/>
      <c r="G65" s="3"/>
      <c r="H65" s="3"/>
      <c r="I65" s="3"/>
      <c r="J65" s="3"/>
      <c r="K65" s="3"/>
      <c r="L65" s="3"/>
      <c r="M65" s="3"/>
      <c r="N65" s="3"/>
      <c r="O65" s="3"/>
      <c r="P65" s="3"/>
    </row>
    <row r="66" spans="2:16" ht="19.5" customHeight="1" x14ac:dyDescent="0.35">
      <c r="B66" s="12" t="s">
        <v>135</v>
      </c>
      <c r="C66" s="172"/>
      <c r="D66" s="12"/>
      <c r="E66" s="12"/>
      <c r="F66" s="12"/>
      <c r="G66" s="12"/>
      <c r="H66" s="12"/>
      <c r="I66" s="12"/>
      <c r="J66" s="12"/>
      <c r="K66" s="12"/>
      <c r="L66" s="12"/>
      <c r="M66" s="12"/>
      <c r="N66" s="12"/>
      <c r="O66" s="12"/>
      <c r="P66" s="12"/>
    </row>
    <row r="67" spans="2:16" ht="15" customHeight="1" x14ac:dyDescent="0.35">
      <c r="B67" s="25" t="s">
        <v>136</v>
      </c>
      <c r="C67" s="29">
        <v>0.92</v>
      </c>
      <c r="D67" s="24" t="s">
        <v>137</v>
      </c>
      <c r="E67" s="21" t="s">
        <v>138</v>
      </c>
      <c r="F67" s="3"/>
      <c r="G67" s="3"/>
      <c r="H67" s="3"/>
      <c r="I67" s="3"/>
      <c r="J67" s="3"/>
      <c r="K67" s="3"/>
      <c r="L67" s="3"/>
      <c r="M67" s="3"/>
      <c r="N67" s="3"/>
      <c r="O67" s="3"/>
      <c r="P67" s="3"/>
    </row>
    <row r="68" spans="2:16" ht="15" customHeight="1" x14ac:dyDescent="0.35">
      <c r="B68" s="25" t="s">
        <v>139</v>
      </c>
      <c r="C68" s="29">
        <v>0.85</v>
      </c>
      <c r="D68" s="24" t="s">
        <v>137</v>
      </c>
      <c r="E68" s="21" t="s">
        <v>140</v>
      </c>
      <c r="F68" s="3"/>
      <c r="G68" s="3"/>
      <c r="H68" s="3"/>
      <c r="I68" s="3"/>
      <c r="J68" s="3"/>
      <c r="K68" s="3"/>
      <c r="L68" s="3"/>
      <c r="M68" s="3"/>
      <c r="N68" s="3"/>
      <c r="O68" s="3"/>
      <c r="P68" s="3"/>
    </row>
    <row r="69" spans="2:16" ht="15" customHeight="1" x14ac:dyDescent="0.35">
      <c r="B69" s="25" t="s">
        <v>141</v>
      </c>
      <c r="C69" s="29">
        <v>1</v>
      </c>
      <c r="D69" s="24" t="s">
        <v>137</v>
      </c>
      <c r="E69" s="21" t="s">
        <v>142</v>
      </c>
      <c r="F69" s="3"/>
      <c r="G69" s="3"/>
      <c r="H69" s="3"/>
      <c r="I69" s="3"/>
      <c r="J69" s="3"/>
      <c r="K69" s="3"/>
      <c r="L69" s="3"/>
      <c r="M69" s="3"/>
      <c r="N69" s="3"/>
      <c r="O69" s="3"/>
      <c r="P69" s="3"/>
    </row>
    <row r="70" spans="2:16" ht="15" customHeight="1" x14ac:dyDescent="0.35">
      <c r="B70" s="25" t="s">
        <v>143</v>
      </c>
      <c r="C70" s="32">
        <v>4</v>
      </c>
      <c r="D70" s="24" t="s">
        <v>144</v>
      </c>
      <c r="E70" s="21" t="s">
        <v>145</v>
      </c>
      <c r="F70" s="3"/>
      <c r="G70" s="3"/>
      <c r="H70" s="3"/>
      <c r="I70" s="3"/>
      <c r="J70" s="3"/>
      <c r="K70" s="3"/>
      <c r="L70" s="3"/>
      <c r="M70" s="3"/>
      <c r="N70" s="3"/>
      <c r="O70" s="3"/>
      <c r="P70" s="3"/>
    </row>
    <row r="71" spans="2:16" ht="6.75" customHeight="1" x14ac:dyDescent="0.35">
      <c r="B71" s="3"/>
      <c r="C71" s="3"/>
      <c r="D71" s="3"/>
      <c r="E71" s="3"/>
      <c r="F71" s="3"/>
      <c r="G71" s="3"/>
      <c r="H71" s="3"/>
      <c r="I71" s="3"/>
      <c r="J71" s="3"/>
      <c r="K71" s="3"/>
      <c r="L71" s="3"/>
      <c r="M71" s="3"/>
      <c r="N71" s="3"/>
      <c r="O71" s="3"/>
      <c r="P71" s="3"/>
    </row>
    <row r="72" spans="2:16" ht="15" customHeight="1" x14ac:dyDescent="0.35">
      <c r="B72" s="25" t="s">
        <v>146</v>
      </c>
      <c r="C72" s="28">
        <v>1520</v>
      </c>
      <c r="D72" s="24" t="s">
        <v>76</v>
      </c>
      <c r="E72" s="3"/>
      <c r="F72" s="3"/>
      <c r="G72" s="3"/>
      <c r="H72" s="3"/>
      <c r="I72" s="3"/>
      <c r="J72" s="3"/>
      <c r="K72" s="3"/>
      <c r="L72" s="3"/>
      <c r="M72" s="3"/>
      <c r="N72" s="3"/>
      <c r="O72" s="3"/>
      <c r="P72" s="3"/>
    </row>
    <row r="73" spans="2:16" ht="15" customHeight="1" x14ac:dyDescent="0.35">
      <c r="B73" s="25" t="s">
        <v>147</v>
      </c>
      <c r="C73" s="28">
        <v>3240</v>
      </c>
      <c r="D73" s="24" t="s">
        <v>76</v>
      </c>
      <c r="E73" s="3"/>
      <c r="F73" s="3"/>
      <c r="G73" s="3"/>
      <c r="H73" s="3"/>
      <c r="I73" s="3"/>
      <c r="J73" s="3"/>
      <c r="K73" s="3"/>
      <c r="L73" s="3"/>
      <c r="M73" s="3"/>
      <c r="N73" s="3"/>
      <c r="O73" s="3"/>
      <c r="P73" s="3"/>
    </row>
    <row r="74" spans="2:16" ht="15" customHeight="1" x14ac:dyDescent="0.35">
      <c r="B74" s="25" t="s">
        <v>148</v>
      </c>
      <c r="C74" s="33">
        <f>Assumptions!$C$20*(1-Assumptions!$C$26)*Assumptions!$C$70*(1-Assumptions!$C$42)</f>
        <v>21980</v>
      </c>
      <c r="D74" s="24" t="s">
        <v>76</v>
      </c>
      <c r="E74" s="21" t="s">
        <v>149</v>
      </c>
      <c r="F74" s="3"/>
      <c r="G74" s="3"/>
      <c r="H74" s="3"/>
      <c r="I74" s="3"/>
      <c r="J74" s="3"/>
      <c r="K74" s="3"/>
      <c r="L74" s="3"/>
      <c r="M74" s="3"/>
      <c r="N74" s="3"/>
      <c r="O74" s="3"/>
      <c r="P74" s="3"/>
    </row>
    <row r="75" spans="2:16" ht="6.75" customHeight="1" x14ac:dyDescent="0.35">
      <c r="B75" s="3"/>
      <c r="C75" s="3"/>
      <c r="D75" s="3"/>
      <c r="E75" s="3"/>
      <c r="F75" s="3"/>
      <c r="G75" s="3"/>
      <c r="H75" s="3"/>
      <c r="I75" s="3"/>
      <c r="J75" s="3"/>
      <c r="K75" s="3"/>
      <c r="L75" s="3"/>
      <c r="M75" s="3"/>
      <c r="N75" s="3"/>
      <c r="O75" s="3"/>
      <c r="P75" s="3"/>
    </row>
    <row r="76" spans="2:16" ht="15" customHeight="1" x14ac:dyDescent="0.35">
      <c r="B76" s="25" t="s">
        <v>150</v>
      </c>
      <c r="C76" s="29">
        <v>0.57999999999999996</v>
      </c>
      <c r="D76" s="24" t="s">
        <v>151</v>
      </c>
      <c r="E76" s="21" t="s">
        <v>152</v>
      </c>
      <c r="F76" s="3"/>
      <c r="G76" s="3"/>
      <c r="H76" s="3"/>
      <c r="I76" s="3"/>
      <c r="J76" s="3"/>
      <c r="K76" s="3"/>
      <c r="L76" s="3"/>
      <c r="M76" s="3"/>
      <c r="N76" s="3"/>
      <c r="O76" s="3"/>
      <c r="P76" s="3"/>
    </row>
    <row r="77" spans="2:16" ht="6.75" customHeight="1" x14ac:dyDescent="0.35">
      <c r="B77" s="3"/>
      <c r="C77" s="3"/>
      <c r="D77" s="3"/>
      <c r="E77" s="3"/>
      <c r="F77" s="3"/>
      <c r="G77" s="3"/>
      <c r="H77" s="3"/>
      <c r="I77" s="3"/>
      <c r="J77" s="3"/>
      <c r="K77" s="3"/>
      <c r="L77" s="3"/>
      <c r="M77" s="3"/>
      <c r="N77" s="3"/>
      <c r="O77" s="3"/>
      <c r="P77" s="3"/>
    </row>
    <row r="78" spans="2:16" ht="19.5" customHeight="1" x14ac:dyDescent="0.35">
      <c r="B78" s="12" t="s">
        <v>153</v>
      </c>
      <c r="C78" s="172"/>
      <c r="D78" s="12"/>
      <c r="E78" s="12"/>
      <c r="F78" s="12"/>
      <c r="G78" s="12"/>
      <c r="H78" s="12"/>
      <c r="I78" s="12"/>
      <c r="J78" s="12"/>
      <c r="K78" s="12"/>
      <c r="L78" s="12"/>
      <c r="M78" s="12"/>
      <c r="N78" s="12"/>
      <c r="O78" s="12"/>
      <c r="P78" s="12"/>
    </row>
    <row r="79" spans="2:16" ht="15" customHeight="1" x14ac:dyDescent="0.35">
      <c r="B79" s="25" t="s">
        <v>154</v>
      </c>
      <c r="C79" s="32">
        <v>1</v>
      </c>
      <c r="D79" s="24" t="s">
        <v>155</v>
      </c>
      <c r="E79" s="3"/>
      <c r="F79" s="3"/>
      <c r="G79" s="3"/>
      <c r="H79" s="3"/>
      <c r="I79" s="3"/>
      <c r="J79" s="3"/>
      <c r="K79" s="3"/>
      <c r="L79" s="3"/>
      <c r="M79" s="3"/>
      <c r="N79" s="3"/>
      <c r="O79" s="3"/>
      <c r="P79" s="3"/>
    </row>
    <row r="80" spans="2:16" ht="15" customHeight="1" x14ac:dyDescent="0.35">
      <c r="B80" s="25" t="s">
        <v>156</v>
      </c>
      <c r="C80" s="32">
        <v>5</v>
      </c>
      <c r="D80" s="24" t="s">
        <v>155</v>
      </c>
      <c r="E80" s="3"/>
      <c r="F80" s="3"/>
      <c r="G80" s="3"/>
      <c r="H80" s="3"/>
      <c r="I80" s="3"/>
      <c r="J80" s="3"/>
      <c r="K80" s="3"/>
      <c r="L80" s="3"/>
      <c r="M80" s="3"/>
      <c r="N80" s="3"/>
      <c r="O80" s="3"/>
      <c r="P80" s="3"/>
    </row>
    <row r="81" spans="2:16" ht="15" customHeight="1" x14ac:dyDescent="0.35">
      <c r="B81" s="25" t="s">
        <v>157</v>
      </c>
      <c r="C81" s="32">
        <v>10</v>
      </c>
      <c r="D81" s="24" t="s">
        <v>155</v>
      </c>
      <c r="E81" s="3"/>
      <c r="F81" s="3"/>
      <c r="G81" s="3"/>
      <c r="H81" s="3"/>
      <c r="I81" s="3"/>
      <c r="J81" s="3"/>
      <c r="K81" s="3"/>
      <c r="L81" s="3"/>
      <c r="M81" s="3"/>
      <c r="N81" s="3"/>
      <c r="O81" s="3"/>
      <c r="P81" s="3"/>
    </row>
    <row r="82" spans="2:16" ht="15" customHeight="1" x14ac:dyDescent="0.35">
      <c r="B82" s="25" t="s">
        <v>158</v>
      </c>
      <c r="C82" s="32">
        <v>15</v>
      </c>
      <c r="D82" s="24" t="s">
        <v>155</v>
      </c>
      <c r="E82" s="3"/>
      <c r="F82" s="3"/>
      <c r="G82" s="3"/>
      <c r="H82" s="3"/>
      <c r="I82" s="3"/>
      <c r="J82" s="3"/>
      <c r="K82" s="3"/>
      <c r="L82" s="3"/>
      <c r="M82" s="3"/>
      <c r="N82" s="3"/>
      <c r="O82" s="3"/>
      <c r="P82" s="3"/>
    </row>
    <row r="83" spans="2:16" ht="15" customHeight="1" x14ac:dyDescent="0.35">
      <c r="B83" s="25" t="s">
        <v>159</v>
      </c>
      <c r="C83" s="32">
        <v>20</v>
      </c>
      <c r="D83" s="24" t="s">
        <v>155</v>
      </c>
      <c r="E83" s="3"/>
      <c r="F83" s="3"/>
      <c r="G83" s="3"/>
      <c r="H83" s="3"/>
      <c r="I83" s="3"/>
      <c r="J83" s="3"/>
      <c r="K83" s="3"/>
      <c r="L83" s="3"/>
      <c r="M83" s="3"/>
      <c r="N83" s="3"/>
      <c r="O83" s="3"/>
      <c r="P83" s="3"/>
    </row>
    <row r="84" spans="2:16" ht="15" customHeight="1" x14ac:dyDescent="0.35">
      <c r="B84" s="25" t="s">
        <v>160</v>
      </c>
      <c r="C84" s="34" t="s">
        <v>161</v>
      </c>
      <c r="D84" s="3"/>
      <c r="E84" s="21" t="s">
        <v>162</v>
      </c>
      <c r="F84" s="3"/>
      <c r="G84" s="3"/>
      <c r="H84" s="3"/>
      <c r="I84" s="3"/>
      <c r="J84" s="3"/>
      <c r="K84" s="3"/>
      <c r="L84" s="3"/>
      <c r="M84" s="3"/>
      <c r="N84" s="3"/>
      <c r="O84" s="3"/>
      <c r="P84" s="3"/>
    </row>
    <row r="85" spans="2:16" ht="6.75" customHeight="1" x14ac:dyDescent="0.35">
      <c r="B85" s="3"/>
      <c r="C85" s="3"/>
      <c r="D85" s="3"/>
      <c r="E85" s="3"/>
      <c r="F85" s="3"/>
      <c r="G85" s="3"/>
      <c r="H85" s="3"/>
      <c r="I85" s="3"/>
      <c r="J85" s="3"/>
      <c r="K85" s="3"/>
      <c r="L85" s="3"/>
      <c r="M85" s="3"/>
      <c r="N85" s="3"/>
      <c r="O85" s="3"/>
      <c r="P85" s="3"/>
    </row>
    <row r="86" spans="2:16" ht="19.5" customHeight="1" x14ac:dyDescent="0.35">
      <c r="B86" s="12" t="s">
        <v>163</v>
      </c>
      <c r="C86" s="172"/>
      <c r="D86" s="12"/>
      <c r="E86" s="12"/>
      <c r="F86" s="12"/>
      <c r="G86" s="12"/>
      <c r="H86" s="12"/>
      <c r="I86" s="12"/>
      <c r="J86" s="12"/>
      <c r="K86" s="12"/>
      <c r="L86" s="12"/>
      <c r="M86" s="12"/>
      <c r="N86" s="12"/>
      <c r="O86" s="12"/>
      <c r="P86" s="12"/>
    </row>
    <row r="87" spans="2:16" ht="15" customHeight="1" x14ac:dyDescent="0.35">
      <c r="B87" s="25" t="s">
        <v>164</v>
      </c>
      <c r="C87" s="28">
        <v>4200</v>
      </c>
      <c r="D87" s="24" t="s">
        <v>117</v>
      </c>
      <c r="E87" s="3"/>
      <c r="F87" s="3"/>
      <c r="G87" s="3"/>
      <c r="H87" s="3"/>
      <c r="I87" s="3"/>
      <c r="J87" s="3"/>
      <c r="K87" s="3"/>
      <c r="L87" s="3"/>
      <c r="M87" s="3"/>
      <c r="N87" s="3"/>
      <c r="O87" s="3"/>
      <c r="P87" s="3"/>
    </row>
    <row r="88" spans="2:16" ht="15" customHeight="1" x14ac:dyDescent="0.35">
      <c r="B88" s="25" t="s">
        <v>165</v>
      </c>
      <c r="C88" s="28">
        <v>26500</v>
      </c>
      <c r="D88" s="24" t="s">
        <v>76</v>
      </c>
      <c r="E88" s="21" t="s">
        <v>166</v>
      </c>
      <c r="F88" s="3"/>
      <c r="G88" s="3"/>
      <c r="H88" s="3"/>
      <c r="I88" s="3"/>
      <c r="J88" s="3"/>
      <c r="K88" s="3"/>
      <c r="L88" s="3"/>
      <c r="M88" s="3"/>
      <c r="N88" s="3"/>
      <c r="O88" s="3"/>
      <c r="P88" s="3"/>
    </row>
    <row r="89" spans="2:16" ht="15" customHeight="1" x14ac:dyDescent="0.35">
      <c r="B89" s="25" t="s">
        <v>167</v>
      </c>
      <c r="C89" s="32">
        <v>9</v>
      </c>
      <c r="D89" s="24" t="s">
        <v>168</v>
      </c>
      <c r="E89" s="3"/>
      <c r="F89" s="3"/>
      <c r="G89" s="3"/>
      <c r="H89" s="3"/>
      <c r="I89" s="3"/>
      <c r="J89" s="3"/>
      <c r="K89" s="3"/>
      <c r="L89" s="3"/>
      <c r="M89" s="3"/>
      <c r="N89" s="3"/>
      <c r="O89" s="3"/>
      <c r="P89" s="3"/>
    </row>
    <row r="90" spans="2:16" ht="6.75" customHeight="1" x14ac:dyDescent="0.35">
      <c r="B90" s="3"/>
      <c r="C90" s="3"/>
      <c r="D90" s="3"/>
      <c r="E90" s="3"/>
      <c r="F90" s="3"/>
      <c r="G90" s="3"/>
      <c r="H90" s="3"/>
      <c r="I90" s="3"/>
      <c r="J90" s="3"/>
      <c r="K90" s="3"/>
      <c r="L90" s="3"/>
      <c r="M90" s="3"/>
      <c r="N90" s="3"/>
      <c r="O90" s="3"/>
      <c r="P90" s="3"/>
    </row>
    <row r="91" spans="2:16" ht="19.5" customHeight="1" x14ac:dyDescent="0.35">
      <c r="B91" s="12" t="s">
        <v>169</v>
      </c>
      <c r="C91" s="172"/>
      <c r="D91" s="12"/>
      <c r="E91" s="12"/>
      <c r="F91" s="12"/>
      <c r="G91" s="12"/>
      <c r="H91" s="12"/>
      <c r="I91" s="12"/>
      <c r="J91" s="12"/>
      <c r="K91" s="12"/>
      <c r="L91" s="12"/>
      <c r="M91" s="12"/>
      <c r="N91" s="12"/>
      <c r="O91" s="12"/>
      <c r="P91" s="12"/>
    </row>
    <row r="92" spans="2:16" ht="15" customHeight="1" x14ac:dyDescent="0.35">
      <c r="B92" s="25" t="s">
        <v>170</v>
      </c>
      <c r="C92" s="33">
        <f>Assumptions!$C$59+Assumptions!$C$55</f>
        <v>26200</v>
      </c>
      <c r="D92" s="24" t="s">
        <v>117</v>
      </c>
      <c r="E92" s="21" t="s">
        <v>171</v>
      </c>
      <c r="F92" s="3"/>
      <c r="G92" s="3"/>
      <c r="H92" s="3"/>
      <c r="I92" s="3"/>
      <c r="J92" s="3"/>
      <c r="K92" s="3"/>
      <c r="L92" s="3"/>
      <c r="M92" s="3"/>
      <c r="N92" s="3"/>
      <c r="O92" s="3"/>
      <c r="P92" s="3"/>
    </row>
    <row r="93" spans="2:16" ht="15" customHeight="1" x14ac:dyDescent="0.35">
      <c r="B93" s="25" t="s">
        <v>172</v>
      </c>
      <c r="C93" s="33">
        <f>Assumptions!$C$49+Assumptions!$C$54+Assumptions!$C$61</f>
        <v>2450</v>
      </c>
      <c r="D93" s="24" t="s">
        <v>117</v>
      </c>
      <c r="E93" s="21" t="s">
        <v>173</v>
      </c>
      <c r="F93" s="3"/>
      <c r="G93" s="3"/>
      <c r="H93" s="3"/>
      <c r="I93" s="3"/>
      <c r="J93" s="3"/>
      <c r="K93" s="3"/>
      <c r="L93" s="3"/>
      <c r="M93" s="3"/>
      <c r="N93" s="3"/>
      <c r="O93" s="3"/>
      <c r="P93" s="3"/>
    </row>
    <row r="94" spans="2:16" ht="15" customHeight="1" x14ac:dyDescent="0.35">
      <c r="B94" s="25" t="s">
        <v>174</v>
      </c>
      <c r="C94" s="33">
        <f>Assumptions!$C$50+Assumptions!$C$63</f>
        <v>2400</v>
      </c>
      <c r="D94" s="24" t="s">
        <v>117</v>
      </c>
      <c r="E94" s="21" t="s">
        <v>175</v>
      </c>
      <c r="F94" s="3"/>
      <c r="G94" s="3"/>
      <c r="H94" s="3"/>
      <c r="I94" s="3"/>
      <c r="J94" s="3"/>
      <c r="K94" s="3"/>
      <c r="L94" s="3"/>
      <c r="M94" s="3"/>
      <c r="N94" s="3"/>
      <c r="O94" s="3"/>
      <c r="P94" s="3"/>
    </row>
    <row r="95" spans="2:16" ht="15" customHeight="1" x14ac:dyDescent="0.35">
      <c r="B95" s="25" t="s">
        <v>176</v>
      </c>
      <c r="C95" s="33">
        <f>Assumptions!$C$51+Assumptions!$C$56+Assumptions!$C$64</f>
        <v>80450</v>
      </c>
      <c r="D95" s="24" t="s">
        <v>117</v>
      </c>
      <c r="E95" s="3"/>
      <c r="F95" s="3"/>
      <c r="G95" s="3"/>
      <c r="H95" s="3"/>
      <c r="I95" s="3"/>
      <c r="J95" s="3"/>
      <c r="K95" s="3"/>
      <c r="L95" s="3"/>
      <c r="M95" s="3"/>
      <c r="N95" s="3"/>
      <c r="O95" s="3"/>
      <c r="P95" s="3"/>
    </row>
    <row r="96" spans="2:16" ht="6.75" customHeight="1" x14ac:dyDescent="0.35">
      <c r="B96" s="3"/>
      <c r="C96" s="3"/>
      <c r="D96" s="3"/>
      <c r="E96" s="3"/>
      <c r="F96" s="3"/>
      <c r="G96" s="3"/>
      <c r="H96" s="3"/>
      <c r="I96" s="3"/>
      <c r="J96" s="3"/>
      <c r="K96" s="3"/>
      <c r="L96" s="3"/>
      <c r="M96" s="3"/>
      <c r="N96" s="3"/>
      <c r="O96" s="3"/>
      <c r="P96" s="3"/>
    </row>
    <row r="97" spans="2:16" ht="19.5" customHeight="1" x14ac:dyDescent="0.35">
      <c r="B97" s="12" t="s">
        <v>177</v>
      </c>
      <c r="C97" s="172"/>
      <c r="D97" s="12"/>
      <c r="E97" s="12"/>
      <c r="F97" s="12"/>
      <c r="G97" s="12"/>
      <c r="H97" s="12"/>
      <c r="I97" s="12"/>
      <c r="J97" s="12"/>
      <c r="K97" s="12"/>
      <c r="L97" s="12"/>
      <c r="M97" s="12"/>
      <c r="N97" s="12"/>
      <c r="O97" s="12"/>
      <c r="P97" s="12"/>
    </row>
    <row r="98" spans="2:16" ht="15" customHeight="1" x14ac:dyDescent="0.35">
      <c r="B98" s="35" t="s">
        <v>178</v>
      </c>
      <c r="C98" s="36"/>
      <c r="D98" s="37" t="s">
        <v>179</v>
      </c>
      <c r="E98" s="38" t="s">
        <v>180</v>
      </c>
      <c r="F98" s="39" t="s">
        <v>181</v>
      </c>
      <c r="G98" s="39" t="s">
        <v>182</v>
      </c>
      <c r="H98" s="39" t="s">
        <v>183</v>
      </c>
      <c r="I98" s="39" t="s">
        <v>184</v>
      </c>
      <c r="J98" s="40" t="s">
        <v>185</v>
      </c>
      <c r="K98" s="40" t="s">
        <v>186</v>
      </c>
      <c r="L98" s="3"/>
      <c r="M98" s="3"/>
      <c r="N98" s="3"/>
      <c r="O98" s="3"/>
      <c r="P98" s="3"/>
    </row>
    <row r="99" spans="2:16" ht="15" customHeight="1" x14ac:dyDescent="0.35">
      <c r="B99" s="25" t="s">
        <v>187</v>
      </c>
      <c r="C99" s="3"/>
      <c r="D99" s="28">
        <v>96500</v>
      </c>
      <c r="E99" s="28">
        <v>84200</v>
      </c>
      <c r="F99" s="28">
        <v>80900</v>
      </c>
      <c r="G99" s="28">
        <v>87600</v>
      </c>
      <c r="H99" s="28">
        <v>92400</v>
      </c>
      <c r="I99" s="28">
        <v>86400</v>
      </c>
      <c r="J99" s="33">
        <f>SUM(D99:I99)</f>
        <v>528000</v>
      </c>
      <c r="K99" s="33">
        <f>J99/6</f>
        <v>88000</v>
      </c>
      <c r="L99" s="3"/>
      <c r="M99" s="3"/>
      <c r="N99" s="3"/>
      <c r="O99" s="3"/>
      <c r="P99" s="3"/>
    </row>
    <row r="100" spans="2:16" ht="15" customHeight="1" x14ac:dyDescent="0.35">
      <c r="B100" s="25" t="s">
        <v>188</v>
      </c>
      <c r="C100" s="3"/>
      <c r="D100" s="28">
        <v>84000</v>
      </c>
      <c r="E100" s="28">
        <v>88500</v>
      </c>
      <c r="F100" s="28">
        <v>91000</v>
      </c>
      <c r="G100" s="28">
        <v>96000</v>
      </c>
      <c r="H100" s="28">
        <v>104500</v>
      </c>
      <c r="I100" s="28">
        <v>106000</v>
      </c>
      <c r="J100" s="33">
        <f>SUM(D100:I100)</f>
        <v>570000</v>
      </c>
      <c r="K100" s="33">
        <f>J100/6</f>
        <v>95000</v>
      </c>
      <c r="L100" s="3"/>
      <c r="M100" s="3"/>
      <c r="N100" s="3"/>
      <c r="O100" s="3"/>
      <c r="P100" s="3"/>
    </row>
    <row r="101" spans="2:16" ht="15" customHeight="1" x14ac:dyDescent="0.35">
      <c r="B101" s="25" t="s">
        <v>189</v>
      </c>
      <c r="C101" s="3"/>
      <c r="D101" s="28">
        <v>41000</v>
      </c>
      <c r="E101" s="28">
        <v>0</v>
      </c>
      <c r="F101" s="28">
        <v>26500</v>
      </c>
      <c r="G101" s="28">
        <v>0</v>
      </c>
      <c r="H101" s="28">
        <v>58000</v>
      </c>
      <c r="I101" s="28">
        <v>54500</v>
      </c>
      <c r="J101" s="33">
        <f>SUM(D101:I101)</f>
        <v>180000</v>
      </c>
      <c r="K101" s="33">
        <f>J101/6</f>
        <v>30000</v>
      </c>
      <c r="L101" s="3"/>
      <c r="M101" s="3"/>
      <c r="N101" s="3"/>
      <c r="O101" s="3"/>
      <c r="P101" s="3"/>
    </row>
    <row r="102" spans="2:16" ht="15" customHeight="1" x14ac:dyDescent="0.35">
      <c r="B102" s="25" t="s">
        <v>190</v>
      </c>
      <c r="C102" s="3"/>
      <c r="D102" s="28">
        <v>36800</v>
      </c>
      <c r="E102" s="28">
        <v>31200</v>
      </c>
      <c r="F102" s="28">
        <v>29900</v>
      </c>
      <c r="G102" s="28">
        <v>33400</v>
      </c>
      <c r="H102" s="28">
        <v>36100</v>
      </c>
      <c r="I102" s="28">
        <v>36600</v>
      </c>
      <c r="J102" s="33">
        <f>SUM(D102:I102)</f>
        <v>204000</v>
      </c>
      <c r="K102" s="33">
        <f>J102/6</f>
        <v>34000</v>
      </c>
      <c r="L102" s="3"/>
      <c r="M102" s="3"/>
      <c r="N102" s="3"/>
      <c r="O102" s="3"/>
      <c r="P102" s="3"/>
    </row>
    <row r="103" spans="2:16" ht="15" customHeight="1" x14ac:dyDescent="0.35">
      <c r="B103" s="30" t="s">
        <v>191</v>
      </c>
      <c r="C103" s="3"/>
      <c r="D103" s="41">
        <f t="shared" ref="D103:K103" si="0">SUM(D99:D102)</f>
        <v>258300</v>
      </c>
      <c r="E103" s="42">
        <f t="shared" si="0"/>
        <v>203900</v>
      </c>
      <c r="F103" s="43">
        <f t="shared" si="0"/>
        <v>228300</v>
      </c>
      <c r="G103" s="43">
        <f t="shared" si="0"/>
        <v>217000</v>
      </c>
      <c r="H103" s="43">
        <f t="shared" si="0"/>
        <v>291000</v>
      </c>
      <c r="I103" s="43">
        <f t="shared" si="0"/>
        <v>283500</v>
      </c>
      <c r="J103" s="43">
        <f t="shared" si="0"/>
        <v>1482000</v>
      </c>
      <c r="K103" s="43">
        <f t="shared" si="0"/>
        <v>247000</v>
      </c>
      <c r="L103" s="3"/>
      <c r="M103" s="3"/>
      <c r="N103" s="3"/>
      <c r="O103" s="3"/>
      <c r="P103" s="3"/>
    </row>
    <row r="104" spans="2:16" ht="15" customHeight="1" x14ac:dyDescent="0.35">
      <c r="B104" s="1" t="s">
        <v>192</v>
      </c>
      <c r="C104" s="3"/>
      <c r="D104" s="3"/>
      <c r="E104" s="3"/>
      <c r="F104" s="3"/>
      <c r="G104" s="3"/>
      <c r="H104" s="3"/>
      <c r="I104" s="3"/>
      <c r="J104" s="3"/>
      <c r="K104" s="3"/>
      <c r="L104" s="3"/>
      <c r="M104" s="3"/>
      <c r="N104" s="3"/>
      <c r="O104" s="3"/>
      <c r="P104" s="3"/>
    </row>
    <row r="105" spans="2:16" ht="6.75" customHeight="1" x14ac:dyDescent="0.35">
      <c r="B105" s="3"/>
      <c r="C105" s="3"/>
      <c r="D105" s="3"/>
      <c r="E105" s="3"/>
      <c r="F105" s="3"/>
      <c r="G105" s="3"/>
      <c r="H105" s="3"/>
      <c r="I105" s="3"/>
      <c r="J105" s="3"/>
      <c r="K105" s="3"/>
      <c r="L105" s="3"/>
      <c r="M105" s="3"/>
      <c r="N105" s="3"/>
      <c r="O105" s="3"/>
      <c r="P105" s="3"/>
    </row>
    <row r="106" spans="2:16" ht="19.5" customHeight="1" x14ac:dyDescent="0.35">
      <c r="B106" s="12" t="s">
        <v>193</v>
      </c>
      <c r="C106" s="172"/>
      <c r="D106" s="12"/>
      <c r="E106" s="12"/>
      <c r="F106" s="12"/>
      <c r="G106" s="12"/>
      <c r="H106" s="12"/>
      <c r="I106" s="12"/>
      <c r="J106" s="12"/>
      <c r="K106" s="12"/>
      <c r="L106" s="12"/>
      <c r="M106" s="12"/>
      <c r="N106" s="12"/>
      <c r="O106" s="12"/>
      <c r="P106" s="12"/>
    </row>
    <row r="107" spans="2:16" ht="15" customHeight="1" x14ac:dyDescent="0.35">
      <c r="B107" s="35" t="s">
        <v>194</v>
      </c>
      <c r="C107" s="44" t="s">
        <v>195</v>
      </c>
      <c r="D107" s="37" t="s">
        <v>196</v>
      </c>
      <c r="E107" s="38" t="s">
        <v>197</v>
      </c>
      <c r="F107" s="39" t="s">
        <v>198</v>
      </c>
      <c r="G107" s="39" t="s">
        <v>199</v>
      </c>
      <c r="H107" s="39" t="s">
        <v>200</v>
      </c>
      <c r="I107" s="39" t="s">
        <v>201</v>
      </c>
      <c r="J107" s="39" t="s">
        <v>202</v>
      </c>
      <c r="K107" s="39" t="s">
        <v>203</v>
      </c>
      <c r="L107" s="39" t="s">
        <v>204</v>
      </c>
      <c r="M107" s="39" t="s">
        <v>205</v>
      </c>
      <c r="N107" s="39" t="s">
        <v>206</v>
      </c>
      <c r="O107" s="39" t="s">
        <v>207</v>
      </c>
      <c r="P107" s="39" t="s">
        <v>208</v>
      </c>
    </row>
    <row r="108" spans="2:16" ht="15" customHeight="1" x14ac:dyDescent="0.35">
      <c r="B108" s="25" t="s">
        <v>209</v>
      </c>
      <c r="C108" s="45">
        <f>AVERAGE(D108:P108)</f>
        <v>1.0061538461538462</v>
      </c>
      <c r="D108" s="46">
        <v>0.95</v>
      </c>
      <c r="E108" s="46">
        <v>1.08</v>
      </c>
      <c r="F108" s="46">
        <v>0.92</v>
      </c>
      <c r="G108" s="46">
        <v>0.9</v>
      </c>
      <c r="H108" s="46">
        <v>0.93</v>
      </c>
      <c r="I108" s="46">
        <v>0.97</v>
      </c>
      <c r="J108" s="46">
        <v>1</v>
      </c>
      <c r="K108" s="46">
        <v>1.02</v>
      </c>
      <c r="L108" s="46">
        <v>0.98</v>
      </c>
      <c r="M108" s="46">
        <v>1.03</v>
      </c>
      <c r="N108" s="46">
        <v>1.06</v>
      </c>
      <c r="O108" s="46">
        <v>1.1000000000000001</v>
      </c>
      <c r="P108" s="46">
        <v>1.1399999999999999</v>
      </c>
    </row>
    <row r="109" spans="2:16" ht="15" customHeight="1" x14ac:dyDescent="0.35">
      <c r="B109" s="25" t="s">
        <v>210</v>
      </c>
      <c r="C109" s="45">
        <f>AVERAGE(D109:P109)</f>
        <v>1.0492307692307692</v>
      </c>
      <c r="D109" s="46">
        <v>0.97</v>
      </c>
      <c r="E109" s="46">
        <v>1.05</v>
      </c>
      <c r="F109" s="46">
        <v>0.96</v>
      </c>
      <c r="G109" s="46">
        <v>0.95</v>
      </c>
      <c r="H109" s="46">
        <v>0.99</v>
      </c>
      <c r="I109" s="46">
        <v>1.02</v>
      </c>
      <c r="J109" s="46">
        <v>1.04</v>
      </c>
      <c r="K109" s="46">
        <v>1.06</v>
      </c>
      <c r="L109" s="46">
        <v>1.05</v>
      </c>
      <c r="M109" s="46">
        <v>1.08</v>
      </c>
      <c r="N109" s="46">
        <v>1.1200000000000001</v>
      </c>
      <c r="O109" s="46">
        <v>1.1499999999999999</v>
      </c>
      <c r="P109" s="46">
        <v>1.2</v>
      </c>
    </row>
    <row r="110" spans="2:16" ht="15" customHeight="1" x14ac:dyDescent="0.35">
      <c r="B110" s="25" t="s">
        <v>211</v>
      </c>
      <c r="C110" s="45">
        <f>AVERAGE(D110:P110)</f>
        <v>0.33076923076923082</v>
      </c>
      <c r="D110" s="46">
        <v>0</v>
      </c>
      <c r="E110" s="46">
        <v>1</v>
      </c>
      <c r="F110" s="46">
        <v>0</v>
      </c>
      <c r="G110" s="46">
        <v>0</v>
      </c>
      <c r="H110" s="46">
        <v>0</v>
      </c>
      <c r="I110" s="46">
        <v>0</v>
      </c>
      <c r="J110" s="46">
        <v>0.8</v>
      </c>
      <c r="K110" s="46">
        <v>0</v>
      </c>
      <c r="L110" s="46">
        <v>0</v>
      </c>
      <c r="M110" s="46">
        <v>0</v>
      </c>
      <c r="N110" s="46">
        <v>1.4</v>
      </c>
      <c r="O110" s="46">
        <v>0</v>
      </c>
      <c r="P110" s="46">
        <v>1.1000000000000001</v>
      </c>
    </row>
    <row r="111" spans="2:16" ht="15" customHeight="1" x14ac:dyDescent="0.35">
      <c r="B111" s="25" t="s">
        <v>212</v>
      </c>
      <c r="C111" s="45">
        <f>AVERAGE(D111:P111)</f>
        <v>1.0176923076923077</v>
      </c>
      <c r="D111" s="46">
        <v>0.96</v>
      </c>
      <c r="E111" s="46">
        <v>1</v>
      </c>
      <c r="F111" s="46">
        <v>0.95</v>
      </c>
      <c r="G111" s="46">
        <v>0.94</v>
      </c>
      <c r="H111" s="46">
        <v>0.97</v>
      </c>
      <c r="I111" s="46">
        <v>1</v>
      </c>
      <c r="J111" s="46">
        <v>1.02</v>
      </c>
      <c r="K111" s="46">
        <v>1.03</v>
      </c>
      <c r="L111" s="46">
        <v>1.01</v>
      </c>
      <c r="M111" s="46">
        <v>1.05</v>
      </c>
      <c r="N111" s="46">
        <v>1.08</v>
      </c>
      <c r="O111" s="46">
        <v>1.1000000000000001</v>
      </c>
      <c r="P111" s="46">
        <v>1.1200000000000001</v>
      </c>
    </row>
    <row r="112" spans="2:16" ht="15" customHeight="1" x14ac:dyDescent="0.35">
      <c r="B112" s="1" t="s">
        <v>213</v>
      </c>
      <c r="C112" s="3"/>
      <c r="D112" s="3"/>
      <c r="E112" s="3"/>
      <c r="F112" s="3"/>
      <c r="G112" s="3"/>
      <c r="H112" s="3"/>
      <c r="I112" s="3"/>
      <c r="J112" s="3"/>
      <c r="K112" s="3"/>
      <c r="L112" s="3"/>
      <c r="M112" s="3"/>
      <c r="N112" s="3"/>
      <c r="O112" s="3"/>
      <c r="P112" s="3"/>
    </row>
    <row r="113" spans="2:16" ht="6.75" customHeight="1" x14ac:dyDescent="0.35">
      <c r="B113" s="3"/>
      <c r="C113" s="3"/>
      <c r="D113" s="3"/>
      <c r="E113" s="3"/>
      <c r="F113" s="3"/>
      <c r="G113" s="3"/>
      <c r="H113" s="3"/>
      <c r="I113" s="3"/>
      <c r="J113" s="3"/>
      <c r="K113" s="3"/>
      <c r="L113" s="3"/>
      <c r="M113" s="3"/>
      <c r="N113" s="3"/>
      <c r="O113" s="3"/>
      <c r="P113" s="3"/>
    </row>
    <row r="114" spans="2:16" ht="19.5" customHeight="1" x14ac:dyDescent="0.35">
      <c r="B114" s="12" t="s">
        <v>214</v>
      </c>
      <c r="C114" s="172"/>
      <c r="D114" s="12"/>
      <c r="E114" s="12"/>
      <c r="F114" s="12"/>
      <c r="G114" s="12"/>
      <c r="H114" s="12"/>
      <c r="I114" s="12"/>
      <c r="J114" s="12"/>
      <c r="K114" s="12"/>
      <c r="L114" s="12"/>
      <c r="M114" s="12"/>
      <c r="N114" s="12"/>
      <c r="O114" s="12"/>
      <c r="P114" s="12"/>
    </row>
    <row r="115" spans="2:16" ht="15" customHeight="1" x14ac:dyDescent="0.35">
      <c r="B115" s="35" t="s">
        <v>215</v>
      </c>
      <c r="C115" s="44" t="s">
        <v>216</v>
      </c>
      <c r="D115" s="37" t="s">
        <v>217</v>
      </c>
      <c r="E115" s="3"/>
      <c r="F115" s="3"/>
      <c r="G115" s="3"/>
      <c r="H115" s="3"/>
      <c r="I115" s="3"/>
      <c r="J115" s="3"/>
      <c r="K115" s="3"/>
      <c r="L115" s="3"/>
      <c r="M115" s="3"/>
      <c r="N115" s="3"/>
      <c r="O115" s="3"/>
      <c r="P115" s="3"/>
    </row>
    <row r="116" spans="2:16" ht="15" customHeight="1" x14ac:dyDescent="0.35">
      <c r="B116" s="25" t="s">
        <v>218</v>
      </c>
      <c r="C116" s="28">
        <v>54000</v>
      </c>
      <c r="D116" s="47">
        <v>2</v>
      </c>
      <c r="E116" s="3"/>
      <c r="F116" s="3"/>
      <c r="G116" s="3"/>
      <c r="H116" s="3"/>
      <c r="I116" s="3"/>
      <c r="J116" s="3"/>
      <c r="K116" s="3"/>
      <c r="L116" s="3"/>
      <c r="M116" s="3"/>
      <c r="N116" s="3"/>
      <c r="O116" s="3"/>
      <c r="P116" s="3"/>
    </row>
    <row r="117" spans="2:16" ht="15" customHeight="1" x14ac:dyDescent="0.35">
      <c r="B117" s="25" t="s">
        <v>219</v>
      </c>
      <c r="C117" s="28">
        <v>46000</v>
      </c>
      <c r="D117" s="47">
        <v>5</v>
      </c>
      <c r="E117" s="3"/>
      <c r="F117" s="3"/>
      <c r="G117" s="3"/>
      <c r="H117" s="3"/>
      <c r="I117" s="3"/>
      <c r="J117" s="3"/>
      <c r="K117" s="3"/>
      <c r="L117" s="3"/>
      <c r="M117" s="3"/>
      <c r="N117" s="3"/>
      <c r="O117" s="3"/>
      <c r="P117" s="3"/>
    </row>
    <row r="118" spans="2:16" ht="15" customHeight="1" x14ac:dyDescent="0.35">
      <c r="B118" s="25" t="s">
        <v>220</v>
      </c>
      <c r="C118" s="28">
        <v>82000</v>
      </c>
      <c r="D118" s="47">
        <v>8</v>
      </c>
      <c r="E118" s="3"/>
      <c r="F118" s="3"/>
      <c r="G118" s="3"/>
      <c r="H118" s="3"/>
      <c r="I118" s="3"/>
      <c r="J118" s="3"/>
      <c r="K118" s="3"/>
      <c r="L118" s="3"/>
      <c r="M118" s="3"/>
      <c r="N118" s="3"/>
      <c r="O118" s="3"/>
      <c r="P118" s="3"/>
    </row>
    <row r="119" spans="2:16" ht="15" customHeight="1" x14ac:dyDescent="0.35">
      <c r="B119" s="25" t="s">
        <v>221</v>
      </c>
      <c r="C119" s="28">
        <v>53000</v>
      </c>
      <c r="D119" s="47">
        <v>11</v>
      </c>
      <c r="E119" s="3"/>
      <c r="F119" s="3"/>
      <c r="G119" s="3"/>
      <c r="H119" s="3"/>
      <c r="I119" s="3"/>
      <c r="J119" s="3"/>
      <c r="K119" s="3"/>
      <c r="L119" s="3"/>
      <c r="M119" s="3"/>
      <c r="N119" s="3"/>
      <c r="O119" s="3"/>
      <c r="P119" s="3"/>
    </row>
    <row r="120" spans="2:16" ht="15" customHeight="1" x14ac:dyDescent="0.35">
      <c r="B120" s="30" t="s">
        <v>222</v>
      </c>
      <c r="C120" s="31">
        <f>SUM(C116:C119)</f>
        <v>235000</v>
      </c>
      <c r="D120" s="3"/>
      <c r="E120" s="3"/>
      <c r="F120" s="3"/>
      <c r="G120" s="3"/>
      <c r="H120" s="3"/>
      <c r="I120" s="3"/>
      <c r="J120" s="3"/>
      <c r="K120" s="3"/>
      <c r="L120" s="3"/>
      <c r="M120" s="3"/>
      <c r="N120" s="3"/>
      <c r="O120" s="3"/>
      <c r="P120" s="3"/>
    </row>
    <row r="121" spans="2:16" ht="15" customHeight="1" x14ac:dyDescent="0.35">
      <c r="B121" s="1" t="s">
        <v>223</v>
      </c>
      <c r="C121" s="3"/>
      <c r="D121" s="3"/>
      <c r="E121" s="3"/>
      <c r="F121" s="3"/>
      <c r="G121" s="3"/>
      <c r="H121" s="3"/>
      <c r="I121" s="3"/>
      <c r="J121" s="3"/>
      <c r="K121" s="3"/>
      <c r="L121" s="3"/>
      <c r="M121" s="3"/>
      <c r="N121" s="3"/>
      <c r="O121" s="3"/>
      <c r="P121" s="3"/>
    </row>
    <row r="122" spans="2:16" ht="6.75" customHeight="1" x14ac:dyDescent="0.35">
      <c r="B122" s="3"/>
      <c r="C122" s="3"/>
      <c r="D122" s="3"/>
      <c r="E122" s="3"/>
      <c r="F122" s="3"/>
      <c r="G122" s="3"/>
      <c r="H122" s="3"/>
      <c r="I122" s="3"/>
      <c r="J122" s="3"/>
      <c r="K122" s="3"/>
      <c r="L122" s="3"/>
      <c r="M122" s="3"/>
      <c r="N122" s="3"/>
      <c r="O122" s="3"/>
      <c r="P122" s="3"/>
    </row>
    <row r="123" spans="2:16" ht="19.5" customHeight="1" x14ac:dyDescent="0.35">
      <c r="B123" s="12" t="s">
        <v>224</v>
      </c>
      <c r="C123" s="172"/>
      <c r="D123" s="12"/>
      <c r="E123" s="12"/>
      <c r="F123" s="12"/>
      <c r="G123" s="12"/>
      <c r="H123" s="12"/>
      <c r="I123" s="12"/>
      <c r="J123" s="12"/>
      <c r="K123" s="12"/>
      <c r="L123" s="12"/>
      <c r="M123" s="12"/>
      <c r="N123" s="12"/>
      <c r="O123" s="12"/>
      <c r="P123" s="12"/>
    </row>
    <row r="124" spans="2:16" ht="15" customHeight="1" x14ac:dyDescent="0.35">
      <c r="B124" s="25" t="s">
        <v>225</v>
      </c>
      <c r="C124" s="28">
        <v>0</v>
      </c>
      <c r="D124" s="24" t="s">
        <v>76</v>
      </c>
      <c r="E124" s="21" t="s">
        <v>226</v>
      </c>
      <c r="F124" s="3"/>
      <c r="G124" s="3"/>
      <c r="H124" s="3"/>
      <c r="I124" s="3"/>
      <c r="J124" s="3"/>
      <c r="K124" s="3"/>
      <c r="L124" s="3"/>
      <c r="M124" s="3"/>
      <c r="N124" s="3"/>
      <c r="O124" s="3"/>
      <c r="P124" s="3"/>
    </row>
    <row r="125" spans="2:16" ht="15" customHeight="1" x14ac:dyDescent="0.35">
      <c r="B125" s="25" t="s">
        <v>227</v>
      </c>
      <c r="C125" s="32">
        <v>0</v>
      </c>
      <c r="D125" s="24" t="s">
        <v>168</v>
      </c>
      <c r="E125" s="3"/>
      <c r="F125" s="3"/>
      <c r="G125" s="3"/>
      <c r="H125" s="3"/>
      <c r="I125" s="3"/>
      <c r="J125" s="3"/>
      <c r="K125" s="3"/>
      <c r="L125" s="3"/>
      <c r="M125" s="3"/>
      <c r="N125" s="3"/>
      <c r="O125" s="3"/>
      <c r="P125" s="3"/>
    </row>
  </sheetData>
  <hyperlinks>
    <hyperlink ref="P3" location="'Dashboard'!A1" display="Back to Dashboard" xr:uid="{00000000-0004-0000-0100-000000000000}"/>
  </hyperlinks>
  <pageMargins left="0.35" right="0.35" top="0.45" bottom="0.45" header="0.511811023622047" footer="0.25"/>
  <pageSetup paperSize="9" fitToHeight="0" orientation="landscape" horizontalDpi="300" verticalDpi="300"/>
  <headerFooter>
    <oddFooter>&amp;L&amp;8 &amp;K808080Atelier North Pte. Ltd.  ·  synthetic FP&amp;&amp;A portfolio model&amp;R&amp;8 &amp;K808080&amp;A  ·  &amp;P / &amp;N</oddFooter>
  </headerFooter>
  <rowBreaks count="1" manualBreakCount="1">
    <brk id="9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C99A6"/>
    <pageSetUpPr fitToPage="1"/>
  </sheetPr>
  <dimension ref="B1:H44"/>
  <sheetViews>
    <sheetView showGridLines="0" zoomScale="95" zoomScaleNormal="95" workbookViewId="0">
      <pane xSplit="1" ySplit="7" topLeftCell="B8" activePane="bottomRight" state="frozen"/>
      <selection pane="topRight" activeCell="B1" sqref="B1"/>
      <selection pane="bottomLeft" activeCell="A8" sqref="A8"/>
      <selection pane="bottomRight" activeCell="B2" sqref="B2"/>
    </sheetView>
  </sheetViews>
  <sheetFormatPr defaultColWidth="8.54296875" defaultRowHeight="14.5" x14ac:dyDescent="0.35"/>
  <cols>
    <col min="1" max="1" width="1.6328125" customWidth="1"/>
    <col min="2" max="2" width="15" customWidth="1"/>
    <col min="3" max="3" width="62" customWidth="1"/>
    <col min="4" max="6" width="13" customWidth="1"/>
    <col min="7" max="7" width="10" customWidth="1"/>
    <col min="8" max="8" width="13" customWidth="1"/>
  </cols>
  <sheetData>
    <row r="1" spans="2:8" ht="9" customHeight="1" x14ac:dyDescent="0.35"/>
    <row r="2" spans="2:8" ht="26" customHeight="1" x14ac:dyDescent="0.35">
      <c r="B2" s="173" t="s">
        <v>0</v>
      </c>
      <c r="C2" s="175"/>
      <c r="D2" s="175"/>
      <c r="E2" s="175"/>
      <c r="F2" s="175"/>
      <c r="G2" s="175"/>
      <c r="H2" s="174" t="s">
        <v>1</v>
      </c>
    </row>
    <row r="3" spans="2:8" ht="20" customHeight="1" x14ac:dyDescent="0.35">
      <c r="B3" s="176" t="s">
        <v>592</v>
      </c>
      <c r="C3" s="177"/>
      <c r="D3" s="177"/>
      <c r="E3" s="177"/>
      <c r="F3" s="177"/>
      <c r="G3" s="177"/>
      <c r="H3" s="178" t="s">
        <v>60</v>
      </c>
    </row>
    <row r="4" spans="2:8" ht="15" customHeight="1" x14ac:dyDescent="0.35">
      <c r="B4" s="3"/>
      <c r="C4" s="3"/>
      <c r="D4" s="3"/>
      <c r="E4" s="3"/>
      <c r="F4" s="3"/>
      <c r="G4" s="3"/>
      <c r="H4" s="3"/>
    </row>
    <row r="5" spans="2:8" ht="24" customHeight="1" x14ac:dyDescent="0.35">
      <c r="B5" s="151" t="s">
        <v>593</v>
      </c>
      <c r="C5" s="3"/>
      <c r="D5" s="152" t="str">
        <f>IF(COUNTIF(H8:H42,"FAIL")=0,"PASS","REVIEW REQUIRED")</f>
        <v>PASS</v>
      </c>
      <c r="E5" s="153" t="str">
        <f>"("&amp;COUNTIF(H8:H42,"PASS")&amp;" of "&amp;COUNTA($C$8:$C$42)&amp;" controls passing)"</f>
        <v>(35 of 35 controls passing)</v>
      </c>
      <c r="F5" s="3"/>
      <c r="G5" s="3"/>
      <c r="H5" s="3"/>
    </row>
    <row r="6" spans="2:8" ht="13.5" customHeight="1" x14ac:dyDescent="0.35">
      <c r="B6" s="24" t="s">
        <v>594</v>
      </c>
      <c r="C6" s="3"/>
      <c r="D6" s="3"/>
      <c r="E6" s="3"/>
      <c r="F6" s="3"/>
      <c r="G6" s="3"/>
      <c r="H6" s="3"/>
    </row>
    <row r="7" spans="2:8" ht="19.5" customHeight="1" x14ac:dyDescent="0.35">
      <c r="B7" s="148" t="s">
        <v>595</v>
      </c>
      <c r="C7" s="148" t="s">
        <v>596</v>
      </c>
      <c r="D7" s="49" t="s">
        <v>597</v>
      </c>
      <c r="E7" s="49" t="s">
        <v>598</v>
      </c>
      <c r="F7" s="49" t="s">
        <v>599</v>
      </c>
      <c r="G7" s="49" t="s">
        <v>600</v>
      </c>
      <c r="H7" s="49" t="s">
        <v>601</v>
      </c>
    </row>
    <row r="8" spans="2:8" ht="18" customHeight="1" x14ac:dyDescent="0.35">
      <c r="B8" s="179" t="s">
        <v>602</v>
      </c>
      <c r="C8" s="154" t="s">
        <v>603</v>
      </c>
      <c r="D8" s="155">
        <v>0</v>
      </c>
      <c r="E8" s="156">
        <f>SUMPRODUCT(ABS('13W Cash Flow'!D10:P10+'13W Cash Flow'!D18:P18-'13W Cash Flow'!D36:P36-'13W Cash Flow'!D40:P40))</f>
        <v>1.4551915228366852E-10</v>
      </c>
      <c r="F8" s="156">
        <f t="shared" ref="F8:F37" si="0">E8-D8</f>
        <v>1.4551915228366852E-10</v>
      </c>
      <c r="G8" s="157">
        <v>0.5</v>
      </c>
      <c r="H8" s="158" t="str">
        <f t="shared" ref="H8:H37" si="1">IF(ABS(F8)&lt;=G8,"PASS","FAIL")</f>
        <v>PASS</v>
      </c>
    </row>
    <row r="9" spans="2:8" ht="18" customHeight="1" x14ac:dyDescent="0.35">
      <c r="B9" s="179"/>
      <c r="C9" s="159" t="s">
        <v>604</v>
      </c>
      <c r="D9" s="160">
        <v>0</v>
      </c>
      <c r="E9" s="161">
        <f>SUMPRODUCT(ABS('13W Cash Flow'!E10:P10-'13W Cash Flow'!D40:O40))</f>
        <v>0</v>
      </c>
      <c r="F9" s="161">
        <f t="shared" si="0"/>
        <v>0</v>
      </c>
      <c r="G9" s="162">
        <v>0.5</v>
      </c>
      <c r="H9" s="163" t="str">
        <f t="shared" si="1"/>
        <v>PASS</v>
      </c>
    </row>
    <row r="10" spans="2:8" ht="18" customHeight="1" x14ac:dyDescent="0.35">
      <c r="B10" s="179"/>
      <c r="C10" s="159" t="s">
        <v>605</v>
      </c>
      <c r="D10" s="160">
        <v>0</v>
      </c>
      <c r="E10" s="161">
        <f>'13W Cash Flow'!$D$10-Assumptions!$C$13</f>
        <v>0</v>
      </c>
      <c r="F10" s="161">
        <f t="shared" si="0"/>
        <v>0</v>
      </c>
      <c r="G10" s="162">
        <v>0.5</v>
      </c>
      <c r="H10" s="163" t="str">
        <f t="shared" si="1"/>
        <v>PASS</v>
      </c>
    </row>
    <row r="11" spans="2:8" ht="18" customHeight="1" x14ac:dyDescent="0.35">
      <c r="B11" s="179"/>
      <c r="C11" s="159" t="s">
        <v>606</v>
      </c>
      <c r="D11" s="160">
        <v>0</v>
      </c>
      <c r="E11" s="161">
        <f>'13W Cash Flow'!$Q$18-SUM('13W Cash Flow'!$Q$13:$Q$17)</f>
        <v>0</v>
      </c>
      <c r="F11" s="161">
        <f t="shared" si="0"/>
        <v>0</v>
      </c>
      <c r="G11" s="162">
        <v>0.5</v>
      </c>
      <c r="H11" s="163" t="str">
        <f t="shared" si="1"/>
        <v>PASS</v>
      </c>
    </row>
    <row r="12" spans="2:8" ht="18" customHeight="1" x14ac:dyDescent="0.35">
      <c r="B12" s="179"/>
      <c r="C12" s="159" t="s">
        <v>607</v>
      </c>
      <c r="D12" s="160">
        <v>0</v>
      </c>
      <c r="E12" s="161">
        <f>'13W Cash Flow'!$Q$36-SUM('13W Cash Flow'!$Q$21:$Q$35)</f>
        <v>0</v>
      </c>
      <c r="F12" s="161">
        <f t="shared" si="0"/>
        <v>0</v>
      </c>
      <c r="G12" s="162">
        <v>0.5</v>
      </c>
      <c r="H12" s="163" t="str">
        <f t="shared" si="1"/>
        <v>PASS</v>
      </c>
    </row>
    <row r="13" spans="2:8" ht="18" customHeight="1" x14ac:dyDescent="0.35">
      <c r="B13" s="179"/>
      <c r="C13" s="159" t="s">
        <v>608</v>
      </c>
      <c r="D13" s="160">
        <v>0</v>
      </c>
      <c r="E13" s="161">
        <f>SUMPRODUCT(ABS('13W Cash Flow'!D41:P41-Assumptions!$C$14))</f>
        <v>0</v>
      </c>
      <c r="F13" s="161">
        <f t="shared" si="0"/>
        <v>0</v>
      </c>
      <c r="G13" s="162">
        <v>0.5</v>
      </c>
      <c r="H13" s="163" t="str">
        <f t="shared" si="1"/>
        <v>PASS</v>
      </c>
    </row>
    <row r="14" spans="2:8" ht="18" customHeight="1" x14ac:dyDescent="0.35">
      <c r="B14" s="179"/>
      <c r="C14" s="159" t="s">
        <v>609</v>
      </c>
      <c r="D14" s="160">
        <v>0</v>
      </c>
      <c r="E14" s="161">
        <f>'13W Cash Flow'!$Q$77-SUM('13W Cash Flow'!$Q$73:$Q$76)</f>
        <v>0</v>
      </c>
      <c r="F14" s="161">
        <f t="shared" si="0"/>
        <v>0</v>
      </c>
      <c r="G14" s="162">
        <v>0.5</v>
      </c>
      <c r="H14" s="163" t="str">
        <f t="shared" si="1"/>
        <v>PASS</v>
      </c>
    </row>
    <row r="15" spans="2:8" ht="18" customHeight="1" x14ac:dyDescent="0.35">
      <c r="B15" s="179"/>
      <c r="C15" s="159" t="s">
        <v>610</v>
      </c>
      <c r="D15" s="160">
        <v>0</v>
      </c>
      <c r="E15" s="161">
        <f>'13W Cash Flow'!$Q$88-Assumptions!$C$120</f>
        <v>0</v>
      </c>
      <c r="F15" s="161">
        <f t="shared" si="0"/>
        <v>0</v>
      </c>
      <c r="G15" s="162">
        <v>0.5</v>
      </c>
      <c r="H15" s="163" t="str">
        <f t="shared" si="1"/>
        <v>PASS</v>
      </c>
    </row>
    <row r="16" spans="2:8" ht="27" customHeight="1" x14ac:dyDescent="0.35">
      <c r="B16" s="179"/>
      <c r="C16" s="159" t="s">
        <v>657</v>
      </c>
      <c r="D16" s="160">
        <v>0</v>
      </c>
      <c r="E16" s="161">
        <f>SUMPRODUCT(ABS('13W Cash Flow'!$D$101:$I$101))</f>
        <v>0</v>
      </c>
      <c r="F16" s="161">
        <f t="shared" si="0"/>
        <v>0</v>
      </c>
      <c r="G16" s="162">
        <v>1E-3</v>
      </c>
      <c r="H16" s="163" t="str">
        <f t="shared" si="1"/>
        <v>PASS</v>
      </c>
    </row>
    <row r="17" spans="2:8" ht="18" customHeight="1" x14ac:dyDescent="0.35">
      <c r="B17" s="179" t="s">
        <v>611</v>
      </c>
      <c r="C17" s="154" t="s">
        <v>612</v>
      </c>
      <c r="D17" s="155">
        <v>0</v>
      </c>
      <c r="E17" s="156">
        <f>'Channel Profitability'!$H$8-SUM('Channel Profitability'!$D$8:$G$8)</f>
        <v>0</v>
      </c>
      <c r="F17" s="156">
        <f t="shared" si="0"/>
        <v>0</v>
      </c>
      <c r="G17" s="157">
        <v>0.5</v>
      </c>
      <c r="H17" s="158" t="str">
        <f t="shared" si="1"/>
        <v>PASS</v>
      </c>
    </row>
    <row r="18" spans="2:8" ht="18" customHeight="1" x14ac:dyDescent="0.35">
      <c r="B18" s="179"/>
      <c r="C18" s="159" t="s">
        <v>613</v>
      </c>
      <c r="D18" s="160">
        <v>0</v>
      </c>
      <c r="E18" s="161">
        <f>'Channel Profitability'!$H$9-SUM('Channel Profitability'!$D$9:$G$9)</f>
        <v>0</v>
      </c>
      <c r="F18" s="161">
        <f t="shared" si="0"/>
        <v>0</v>
      </c>
      <c r="G18" s="162">
        <v>0.5</v>
      </c>
      <c r="H18" s="163" t="str">
        <f t="shared" si="1"/>
        <v>PASS</v>
      </c>
    </row>
    <row r="19" spans="2:8" ht="18" customHeight="1" x14ac:dyDescent="0.35">
      <c r="B19" s="179"/>
      <c r="C19" s="159" t="s">
        <v>614</v>
      </c>
      <c r="D19" s="160">
        <v>0</v>
      </c>
      <c r="E19" s="161">
        <f>'Channel Profitability'!$H$6-Assumptions!$J$103</f>
        <v>0</v>
      </c>
      <c r="F19" s="161">
        <f t="shared" si="0"/>
        <v>0</v>
      </c>
      <c r="G19" s="162">
        <v>0.5</v>
      </c>
      <c r="H19" s="163" t="str">
        <f t="shared" si="1"/>
        <v>PASS</v>
      </c>
    </row>
    <row r="20" spans="2:8" ht="27" customHeight="1" x14ac:dyDescent="0.35">
      <c r="B20" s="179"/>
      <c r="C20" s="159" t="s">
        <v>615</v>
      </c>
      <c r="D20" s="160">
        <v>0</v>
      </c>
      <c r="E20" s="161">
        <f>'Channel Profitability'!$H$45-('Channel Profitability'!$H$22+'Channel Profitability'!$H$33+'Channel Profitability'!$H$43)</f>
        <v>0</v>
      </c>
      <c r="F20" s="161">
        <f t="shared" si="0"/>
        <v>0</v>
      </c>
      <c r="G20" s="162">
        <v>0.5</v>
      </c>
      <c r="H20" s="163" t="str">
        <f t="shared" si="1"/>
        <v>PASS</v>
      </c>
    </row>
    <row r="21" spans="2:8" ht="27" customHeight="1" x14ac:dyDescent="0.35">
      <c r="B21" s="179"/>
      <c r="C21" s="159" t="s">
        <v>616</v>
      </c>
      <c r="D21" s="160">
        <v>0</v>
      </c>
      <c r="E21" s="161">
        <f>'Channel Profitability'!$H$50-'Channel Profitability'!$H$43</f>
        <v>0</v>
      </c>
      <c r="F21" s="161">
        <f t="shared" si="0"/>
        <v>0</v>
      </c>
      <c r="G21" s="162">
        <v>0.5</v>
      </c>
      <c r="H21" s="163" t="str">
        <f t="shared" si="1"/>
        <v>PASS</v>
      </c>
    </row>
    <row r="22" spans="2:8" ht="18" customHeight="1" x14ac:dyDescent="0.35">
      <c r="B22" s="179"/>
      <c r="C22" s="159" t="s">
        <v>617</v>
      </c>
      <c r="D22" s="160">
        <v>0</v>
      </c>
      <c r="E22" s="161">
        <f>SUM('Channel Profitability'!$D$51:$G$51)-'Channel Profitability'!$H$45</f>
        <v>0</v>
      </c>
      <c r="F22" s="161">
        <f t="shared" si="0"/>
        <v>0</v>
      </c>
      <c r="G22" s="162">
        <v>0.5</v>
      </c>
      <c r="H22" s="163" t="str">
        <f t="shared" si="1"/>
        <v>PASS</v>
      </c>
    </row>
    <row r="23" spans="2:8" ht="27" customHeight="1" x14ac:dyDescent="0.35">
      <c r="B23" s="179" t="s">
        <v>618</v>
      </c>
      <c r="C23" s="154" t="s">
        <v>619</v>
      </c>
      <c r="D23" s="155">
        <v>0</v>
      </c>
      <c r="E23" s="156">
        <f>'Store Break-Even'!$D$17-'Channel Profitability'!$D$58</f>
        <v>0</v>
      </c>
      <c r="F23" s="156">
        <f t="shared" si="0"/>
        <v>0</v>
      </c>
      <c r="G23" s="157">
        <v>0.5</v>
      </c>
      <c r="H23" s="158" t="str">
        <f t="shared" si="1"/>
        <v>PASS</v>
      </c>
    </row>
    <row r="24" spans="2:8" ht="18" customHeight="1" x14ac:dyDescent="0.35">
      <c r="B24" s="179"/>
      <c r="C24" s="159" t="s">
        <v>620</v>
      </c>
      <c r="D24" s="160">
        <v>0</v>
      </c>
      <c r="E24" s="161">
        <f>'Store Break-Even'!$D$32*'Store Break-Even'!$D$18+'Store Break-Even'!$D$26</f>
        <v>0</v>
      </c>
      <c r="F24" s="161">
        <f t="shared" si="0"/>
        <v>0</v>
      </c>
      <c r="G24" s="162">
        <v>0.5</v>
      </c>
      <c r="H24" s="163" t="str">
        <f t="shared" si="1"/>
        <v>PASS</v>
      </c>
    </row>
    <row r="25" spans="2:8" ht="27" customHeight="1" x14ac:dyDescent="0.35">
      <c r="B25" s="179"/>
      <c r="C25" s="159" t="s">
        <v>621</v>
      </c>
      <c r="D25" s="160">
        <v>1</v>
      </c>
      <c r="E25" s="161">
        <f>IF('Store Break-Even'!$D$18&gt;0,1,0)</f>
        <v>1</v>
      </c>
      <c r="F25" s="161">
        <f t="shared" si="0"/>
        <v>0</v>
      </c>
      <c r="G25" s="162">
        <v>1E-3</v>
      </c>
      <c r="H25" s="163" t="str">
        <f t="shared" si="1"/>
        <v>PASS</v>
      </c>
    </row>
    <row r="26" spans="2:8" ht="27" customHeight="1" x14ac:dyDescent="0.35">
      <c r="B26" s="179" t="s">
        <v>622</v>
      </c>
      <c r="C26" s="154" t="s">
        <v>623</v>
      </c>
      <c r="D26" s="155">
        <v>0</v>
      </c>
      <c r="E26" s="156">
        <f>Scenarios!$Q$98-'13W Cash Flow'!$Q$18</f>
        <v>0</v>
      </c>
      <c r="F26" s="156">
        <f t="shared" si="0"/>
        <v>0</v>
      </c>
      <c r="G26" s="157">
        <v>0.5</v>
      </c>
      <c r="H26" s="158" t="str">
        <f t="shared" si="1"/>
        <v>PASS</v>
      </c>
    </row>
    <row r="27" spans="2:8" ht="27" customHeight="1" x14ac:dyDescent="0.35">
      <c r="B27" s="179"/>
      <c r="C27" s="159" t="s">
        <v>624</v>
      </c>
      <c r="D27" s="160">
        <v>0</v>
      </c>
      <c r="E27" s="161">
        <f>Scenarios!$Q$109-'13W Cash Flow'!$Q$36</f>
        <v>0</v>
      </c>
      <c r="F27" s="161">
        <f t="shared" si="0"/>
        <v>0</v>
      </c>
      <c r="G27" s="162">
        <v>0.5</v>
      </c>
      <c r="H27" s="163" t="str">
        <f t="shared" si="1"/>
        <v>PASS</v>
      </c>
    </row>
    <row r="28" spans="2:8" ht="27" customHeight="1" x14ac:dyDescent="0.35">
      <c r="B28" s="179"/>
      <c r="C28" s="159" t="s">
        <v>625</v>
      </c>
      <c r="D28" s="160">
        <v>0</v>
      </c>
      <c r="E28" s="161">
        <f>Scenarios!$P$112-'13W Cash Flow'!$P$40</f>
        <v>0</v>
      </c>
      <c r="F28" s="161">
        <f t="shared" si="0"/>
        <v>0</v>
      </c>
      <c r="G28" s="162">
        <v>0.5</v>
      </c>
      <c r="H28" s="163" t="str">
        <f t="shared" si="1"/>
        <v>PASS</v>
      </c>
    </row>
    <row r="29" spans="2:8" ht="18" customHeight="1" x14ac:dyDescent="0.35">
      <c r="B29" s="179"/>
      <c r="C29" s="159" t="s">
        <v>626</v>
      </c>
      <c r="D29" s="160">
        <v>45</v>
      </c>
      <c r="E29" s="161">
        <f>COUNT(Scenarios!$D$7:$F$21)</f>
        <v>45</v>
      </c>
      <c r="F29" s="161">
        <f t="shared" si="0"/>
        <v>0</v>
      </c>
      <c r="G29" s="162">
        <v>1E-3</v>
      </c>
      <c r="H29" s="163" t="str">
        <f t="shared" si="1"/>
        <v>PASS</v>
      </c>
    </row>
    <row r="30" spans="2:8" ht="18" customHeight="1" x14ac:dyDescent="0.35">
      <c r="B30" s="179" t="s">
        <v>627</v>
      </c>
      <c r="C30" s="154" t="s">
        <v>628</v>
      </c>
      <c r="D30" s="155">
        <v>0</v>
      </c>
      <c r="E30" s="156">
        <f>Dashboard!$B$7-'13W Cash Flow'!$D$45</f>
        <v>0</v>
      </c>
      <c r="F30" s="156">
        <f t="shared" si="0"/>
        <v>0</v>
      </c>
      <c r="G30" s="157">
        <v>0.5</v>
      </c>
      <c r="H30" s="158" t="str">
        <f t="shared" si="1"/>
        <v>PASS</v>
      </c>
    </row>
    <row r="31" spans="2:8" ht="27" customHeight="1" x14ac:dyDescent="0.35">
      <c r="B31" s="179"/>
      <c r="C31" s="159" t="s">
        <v>629</v>
      </c>
      <c r="D31" s="160">
        <v>0</v>
      </c>
      <c r="E31" s="161">
        <f>Dashboard!$F$7-'13W Cash Flow'!$D$46</f>
        <v>0</v>
      </c>
      <c r="F31" s="161">
        <f t="shared" si="0"/>
        <v>0</v>
      </c>
      <c r="G31" s="162">
        <v>0.5</v>
      </c>
      <c r="H31" s="163" t="str">
        <f t="shared" si="1"/>
        <v>PASS</v>
      </c>
    </row>
    <row r="32" spans="2:8" ht="27" customHeight="1" x14ac:dyDescent="0.35">
      <c r="B32" s="179"/>
      <c r="C32" s="159" t="s">
        <v>630</v>
      </c>
      <c r="D32" s="160">
        <v>0</v>
      </c>
      <c r="E32" s="161">
        <f>Dashboard!$N$12-'Store Break-Even'!$D$35</f>
        <v>0</v>
      </c>
      <c r="F32" s="161">
        <f t="shared" si="0"/>
        <v>0</v>
      </c>
      <c r="G32" s="162">
        <v>0.5</v>
      </c>
      <c r="H32" s="163" t="str">
        <f t="shared" si="1"/>
        <v>PASS</v>
      </c>
    </row>
    <row r="33" spans="2:8" ht="18" customHeight="1" x14ac:dyDescent="0.35">
      <c r="B33" s="179" t="s">
        <v>631</v>
      </c>
      <c r="C33" s="154" t="s">
        <v>632</v>
      </c>
      <c r="D33" s="155">
        <v>0</v>
      </c>
      <c r="E33" s="156">
        <f>SUMPRODUCT(--ISERROR('13W Cash Flow'!$B$5:$R$102))</f>
        <v>0</v>
      </c>
      <c r="F33" s="156">
        <f t="shared" si="0"/>
        <v>0</v>
      </c>
      <c r="G33" s="157">
        <v>1E-3</v>
      </c>
      <c r="H33" s="158" t="str">
        <f t="shared" si="1"/>
        <v>PASS</v>
      </c>
    </row>
    <row r="34" spans="2:8" ht="18" customHeight="1" x14ac:dyDescent="0.35">
      <c r="B34" s="179"/>
      <c r="C34" s="159" t="s">
        <v>633</v>
      </c>
      <c r="D34" s="160">
        <v>0</v>
      </c>
      <c r="E34" s="161">
        <f>SUMPRODUCT(--ISERROR('Channel Profitability'!$B$5:$I$60))</f>
        <v>0</v>
      </c>
      <c r="F34" s="161">
        <f t="shared" si="0"/>
        <v>0</v>
      </c>
      <c r="G34" s="162">
        <v>1E-3</v>
      </c>
      <c r="H34" s="163" t="str">
        <f t="shared" si="1"/>
        <v>PASS</v>
      </c>
    </row>
    <row r="35" spans="2:8" ht="18" customHeight="1" x14ac:dyDescent="0.35">
      <c r="B35" s="179"/>
      <c r="C35" s="159" t="s">
        <v>634</v>
      </c>
      <c r="D35" s="160">
        <v>0</v>
      </c>
      <c r="E35" s="161">
        <f>SUMPRODUCT(--ISERROR('Store Break-Even'!$B$5:$I$70))</f>
        <v>0</v>
      </c>
      <c r="F35" s="161">
        <f t="shared" si="0"/>
        <v>0</v>
      </c>
      <c r="G35" s="162">
        <v>1E-3</v>
      </c>
      <c r="H35" s="163" t="str">
        <f t="shared" si="1"/>
        <v>PASS</v>
      </c>
    </row>
    <row r="36" spans="2:8" ht="18" customHeight="1" x14ac:dyDescent="0.35">
      <c r="B36" s="179"/>
      <c r="C36" s="159" t="s">
        <v>635</v>
      </c>
      <c r="D36" s="160">
        <v>0</v>
      </c>
      <c r="E36" s="161">
        <f>SUMPRODUCT(--ISERROR(Scenarios!$B$4:$Q$187))</f>
        <v>0</v>
      </c>
      <c r="F36" s="161">
        <f t="shared" si="0"/>
        <v>0</v>
      </c>
      <c r="G36" s="162">
        <v>1E-3</v>
      </c>
      <c r="H36" s="163" t="str">
        <f t="shared" si="1"/>
        <v>PASS</v>
      </c>
    </row>
    <row r="37" spans="2:8" ht="27" customHeight="1" x14ac:dyDescent="0.35">
      <c r="B37" s="179"/>
      <c r="C37" s="159" t="s">
        <v>658</v>
      </c>
      <c r="D37" s="160">
        <v>0</v>
      </c>
      <c r="E37" s="161">
        <f>SUMPRODUCT(--ISERROR(Dashboard!$B$5:$P$31))+SUMPRODUCT(--ISERROR('Management Insights'!$B$5:$D$27))+SUMPRODUCT(--ISERROR(Dashboard!$B$101:$D$130))+SUMPRODUCT(--ISERROR(Assumptions!$B$7:$P$125))</f>
        <v>0</v>
      </c>
      <c r="F37" s="161">
        <f t="shared" si="0"/>
        <v>0</v>
      </c>
      <c r="G37" s="162">
        <v>1E-3</v>
      </c>
      <c r="H37" s="163" t="str">
        <f t="shared" si="1"/>
        <v>PASS</v>
      </c>
    </row>
    <row r="38" spans="2:8" ht="27" customHeight="1" x14ac:dyDescent="0.35">
      <c r="B38" s="180" t="s">
        <v>664</v>
      </c>
      <c r="C38" s="159" t="s">
        <v>659</v>
      </c>
      <c r="D38" s="160">
        <v>0</v>
      </c>
      <c r="E38" s="161">
        <f>SUMPRODUCT(ABS(Scenarios!D111:P111+Scenarios!D98:P98-Scenarios!D109:P109-Scenarios!D112:P112))+SUMPRODUCT(ABS(Scenarios!D144:P144+Scenarios!D131:P131-Scenarios!D142:P142-Scenarios!D145:P145))+SUMPRODUCT(ABS(Scenarios!D177:P177+Scenarios!D164:P164-Scenarios!D175:P175-Scenarios!D178:P178))</f>
        <v>4.8021320253610611E-10</v>
      </c>
      <c r="F38" s="161">
        <f>E38-D38</f>
        <v>4.8021320253610611E-10</v>
      </c>
      <c r="G38" s="162">
        <v>0.5</v>
      </c>
      <c r="H38" s="163" t="str">
        <f>IF(ABS(F38)&lt;=G38,"PASS","FAIL")</f>
        <v>PASS</v>
      </c>
    </row>
    <row r="39" spans="2:8" ht="27" customHeight="1" x14ac:dyDescent="0.35">
      <c r="B39" s="181"/>
      <c r="C39" s="159" t="s">
        <v>660</v>
      </c>
      <c r="D39" s="160">
        <v>0</v>
      </c>
      <c r="E39" s="161">
        <f>SUMPRODUCT(ABS(Scenarios!E111:P111-Scenarios!D112:O112))+SUMPRODUCT(ABS(Scenarios!E144:P144-Scenarios!D145:O145))+SUMPRODUCT(ABS(Scenarios!E177:P177-Scenarios!D178:O178))</f>
        <v>0</v>
      </c>
      <c r="F39" s="161">
        <f>E39-D39</f>
        <v>0</v>
      </c>
      <c r="G39" s="162">
        <v>0.5</v>
      </c>
      <c r="H39" s="163" t="str">
        <f>IF(ABS(F39)&lt;=G39,"PASS","FAIL")</f>
        <v>PASS</v>
      </c>
    </row>
    <row r="40" spans="2:8" ht="27" customHeight="1" x14ac:dyDescent="0.35">
      <c r="B40" s="181"/>
      <c r="C40" s="159" t="s">
        <v>661</v>
      </c>
      <c r="D40" s="160">
        <v>0</v>
      </c>
      <c r="E40" s="161">
        <f>IF(AND(SUM(Scenarios!$D$100:$P$100)-Assumptions!$C$92*SUM('13W Cash Flow'!$D$70:$P$70)&lt;=0,SUM(Scenarios!$D$86:$P$86)&gt;0),1,0)+IF(AND(SUM(Scenarios!$D$133:$P$133)-Assumptions!$C$92*SUM('13W Cash Flow'!$D$70:$P$70)&lt;=0,SUM(Scenarios!$D$119:$P$119)&gt;0),1,0)+IF(AND(SUM(Scenarios!$D$166:$P$166)-Assumptions!$C$92*SUM('13W Cash Flow'!$D$70:$P$70)&lt;=0,SUM(Scenarios!$D$152:$P$152)&gt;0),1,0)</f>
        <v>0</v>
      </c>
      <c r="F40" s="161">
        <f>E40-D40</f>
        <v>0</v>
      </c>
      <c r="G40" s="162">
        <v>1E-3</v>
      </c>
      <c r="H40" s="163" t="str">
        <f>IF(ABS(F40)&lt;=G40,"PASS","FAIL")</f>
        <v>PASS</v>
      </c>
    </row>
    <row r="41" spans="2:8" ht="27" customHeight="1" x14ac:dyDescent="0.35">
      <c r="B41" s="181"/>
      <c r="C41" s="159" t="s">
        <v>662</v>
      </c>
      <c r="D41" s="160">
        <v>0</v>
      </c>
      <c r="E41" s="161">
        <f>'13W Cash Flow'!$Q$77-'13W Cash Flow'!$Q$76*Assumptions!$C$42+(Assumptions!$C$72+Assumptions!$C$73+Assumptions!$C$74)-('13W Cash Flow'!$P$73*(1-Assumptions!$C$67)+'13W Cash Flow'!$P$74*(1-Assumptions!$C$68)+SUMPRODUCT(--('13W Cash Flow'!$D$6:$P$6&gt;13-Assumptions!$C$70),'13W Cash Flow'!$D$76:$P$76)*(1-Assumptions!$C$42))-'13W Cash Flow'!$Q$18</f>
        <v>0</v>
      </c>
      <c r="F41" s="161">
        <f>E41-D41</f>
        <v>0</v>
      </c>
      <c r="G41" s="162">
        <v>0.5</v>
      </c>
      <c r="H41" s="163" t="str">
        <f>IF(ABS(F41)&lt;=G41,"PASS","FAIL")</f>
        <v>PASS</v>
      </c>
    </row>
    <row r="42" spans="2:8" ht="27" customHeight="1" x14ac:dyDescent="0.35">
      <c r="B42" s="181"/>
      <c r="C42" s="159" t="s">
        <v>663</v>
      </c>
      <c r="D42" s="160">
        <v>0</v>
      </c>
      <c r="E42" s="161">
        <f>ABS(Dashboard!$J$7-'13W Cash Flow'!$D$51)+ABS(Dashboard!$B$12-'13W Cash Flow'!$Q$77)+ABS(Dashboard!$F$12-'Channel Profitability'!$H$11)+ABS(Dashboard!$J$12-'Store Break-Even'!$D$28)+ABS(Dashboard!$C$128-Scenarios!$D$63)+ABS(Dashboard!$C$129-Scenarios!$E$63)+ABS(Dashboard!$C$130-Scenarios!$F$63)+IF(AND(ISNUMBER(Dashboard!$N$7),ISNUMBER('13W Cash Flow'!$D$56)),ABS(Dashboard!$N$7-'13W Cash Flow'!$D$56),IF(Dashboard!$N$7='13W Cash Flow'!$D$56,0,1))</f>
        <v>0</v>
      </c>
      <c r="F42" s="161">
        <f>E42-D42</f>
        <v>0</v>
      </c>
      <c r="G42" s="162">
        <v>0.5</v>
      </c>
      <c r="H42" s="163" t="str">
        <f>IF(ABS(F42)&lt;=G42,"PASS","FAIL")</f>
        <v>PASS</v>
      </c>
    </row>
    <row r="44" spans="2:8" ht="36" x14ac:dyDescent="0.35">
      <c r="C44" s="2" t="s">
        <v>636</v>
      </c>
    </row>
  </sheetData>
  <mergeCells count="7">
    <mergeCell ref="B33:B37"/>
    <mergeCell ref="B38:B42"/>
    <mergeCell ref="B8:B16"/>
    <mergeCell ref="B17:B22"/>
    <mergeCell ref="B23:B25"/>
    <mergeCell ref="B26:B29"/>
    <mergeCell ref="B30:B32"/>
  </mergeCells>
  <conditionalFormatting sqref="D5">
    <cfRule type="cellIs" dxfId="3" priority="4" operator="equal">
      <formula>"PASS"</formula>
    </cfRule>
    <cfRule type="cellIs" dxfId="2" priority="5" operator="equal">
      <formula>"REVIEW REQUIRED"</formula>
    </cfRule>
  </conditionalFormatting>
  <conditionalFormatting sqref="H8:H42">
    <cfRule type="cellIs" dxfId="1" priority="2" operator="equal">
      <formula>"PASS"</formula>
    </cfRule>
    <cfRule type="cellIs" dxfId="0" priority="3" operator="equal">
      <formula>"FAIL"</formula>
    </cfRule>
  </conditionalFormatting>
  <hyperlinks>
    <hyperlink ref="H3" location="'Dashboard'!A1" display="Back to Dashboard" xr:uid="{00000000-0004-0000-0800-000000000000}"/>
  </hyperlinks>
  <pageMargins left="0.35" right="0.35" top="0.45" bottom="0.45" header="0.511811023622047" footer="0.25"/>
  <pageSetup paperSize="9" fitToHeight="0" orientation="landscape" horizontalDpi="300" verticalDpi="300" r:id="rId1"/>
  <headerFooter>
    <oddFooter>&amp;L&amp;8 &amp;K808080Atelier North Pte. Ltd.  ·  synthetic FP&amp;&amp;A portfolio model&amp;R&amp;8 &amp;K808080&amp;A  ·  &amp;P / &amp;N</oddFooter>
  </headerFooter>
  <rowBreaks count="1" manualBreakCount="1">
    <brk id="25" max="16383" man="1"/>
  </rowBreak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README</vt:lpstr>
      <vt:lpstr>Dashboard</vt:lpstr>
      <vt:lpstr>Management Insights</vt:lpstr>
      <vt:lpstr>13W Cash Flow</vt:lpstr>
      <vt:lpstr>Scenarios</vt:lpstr>
      <vt:lpstr>Channel Profitability</vt:lpstr>
      <vt:lpstr>Store Break-Even</vt:lpstr>
      <vt:lpstr>Assumptions</vt:lpstr>
      <vt:lpstr>Controls</vt:lpstr>
      <vt:lpstr>'13W Cash Flow'!Print_Area</vt:lpstr>
      <vt:lpstr>Assumptions!Print_Area</vt:lpstr>
      <vt:lpstr>'Channel Profitability'!Print_Area</vt:lpstr>
      <vt:lpstr>Controls!Print_Area</vt:lpstr>
      <vt:lpstr>Dashboard!Print_Area</vt:lpstr>
      <vt:lpstr>'Management Insights'!Print_Area</vt:lpstr>
      <vt:lpstr>README!Print_Area</vt:lpstr>
      <vt:lpstr>Scenarios!Print_Area</vt:lpstr>
      <vt:lpstr>'Store Break-Even'!Print_Area</vt:lpstr>
      <vt:lpstr>'13W Cash Flow'!Print_Titles</vt:lpstr>
      <vt:lpstr>Assumptions!Print_Titles</vt:lpstr>
      <vt:lpstr>'Channel Profitability'!Print_Titles</vt:lpstr>
      <vt:lpstr>Controls!Print_Titles</vt:lpstr>
      <vt:lpstr>'Management Insights'!Print_Titles</vt:lpstr>
      <vt:lpstr>Scenarios!Print_Titles</vt:lpstr>
      <vt:lpstr>'Store Break-Even'!Print_Titles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 FP&amp;A Cash Flow &amp; Decision Model</dc:title>
  <dc:subject>Synthetic omnichannel retail case study - 13-week cash forecasting, channel profitability, store break-even and scenario analysis</dc:subject>
  <dc:creator>siddik-analytics</dc:creator>
  <dc:description>Synthetic data. No client, employer or confidential information.</dc:description>
  <cp:lastModifiedBy>siddik-analytics</cp:lastModifiedBy>
  <cp:revision>3</cp:revision>
  <dcterms:created xsi:type="dcterms:W3CDTF">2026-08-26T21:20:33Z</dcterms:created>
  <dcterms:modified xsi:type="dcterms:W3CDTF">2026-09-04T04:09:06Z</dcterms:modified>
  <dc:language>en-US</dc:language>
</cp:coreProperties>
</file>